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sca\Downloads\"/>
    </mc:Choice>
  </mc:AlternateContent>
  <xr:revisionPtr revIDLastSave="0" documentId="13_ncr:1_{BEF9D3EC-4CC9-45FB-A353-A13D959788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374 LUCIO DIAZ" sheetId="8" r:id="rId1"/>
  </sheets>
  <definedNames>
    <definedName name="_xlnm.Print_Area" localSheetId="0">'4374 LUCIO DIAZ'!$A$1:$H$37</definedName>
  </definedNames>
  <calcPr calcId="191029"/>
</workbook>
</file>

<file path=xl/calcChain.xml><?xml version="1.0" encoding="utf-8"?>
<calcChain xmlns="http://schemas.openxmlformats.org/spreadsheetml/2006/main">
  <c r="G16" i="8" l="1"/>
  <c r="G17" i="8"/>
  <c r="G18" i="8"/>
  <c r="G15" i="8"/>
  <c r="G19" i="8"/>
  <c r="G20" i="8" l="1"/>
  <c r="G7" i="8" l="1"/>
  <c r="G21" i="8" l="1"/>
  <c r="G23" i="8" l="1"/>
</calcChain>
</file>

<file path=xl/sharedStrings.xml><?xml version="1.0" encoding="utf-8"?>
<sst xmlns="http://schemas.openxmlformats.org/spreadsheetml/2006/main" count="39" uniqueCount="39">
  <si>
    <t>INDUSTRIAL OVISA, SA DE CV</t>
  </si>
  <si>
    <t>Excelencia e Innovación Industrial</t>
  </si>
  <si>
    <t>Miguel Hidalgo y Costilla No 907 Col. Los Altos Escobedo Nuevo León C.P. 66052</t>
  </si>
  <si>
    <t>CLIENTE:</t>
  </si>
  <si>
    <t>FECHA:</t>
  </si>
  <si>
    <t>DIRECCIÓN:</t>
  </si>
  <si>
    <t xml:space="preserve">COTIZACIÓN: </t>
  </si>
  <si>
    <t>TELÉFONO:</t>
  </si>
  <si>
    <t>E-MAIL:</t>
  </si>
  <si>
    <t xml:space="preserve">COTIZACIÓN </t>
  </si>
  <si>
    <t>A CONTINUACIÓN PONEMOS A SU CONSIDERACIÓN LOS SIGUIENTES PRECIOS</t>
  </si>
  <si>
    <t>CANTIDAD</t>
  </si>
  <si>
    <t>DESCRIPCIÓN</t>
  </si>
  <si>
    <t xml:space="preserve">PRECIO </t>
  </si>
  <si>
    <t>TOTAL</t>
  </si>
  <si>
    <t>SUB-TOTAL</t>
  </si>
  <si>
    <t xml:space="preserve">16 % IVA </t>
  </si>
  <si>
    <t xml:space="preserve">T O T A L </t>
  </si>
  <si>
    <t>CONDICIONES:</t>
  </si>
  <si>
    <t>ESTA COTIZACION TIENE UNA VIGENCIA DE 15 DIAS A PARTIR DE HOY</t>
  </si>
  <si>
    <t>50% DE ANTICIPO AL REALIZAR SU PEDIDO Y 50% ANTES DE EMBARCAR</t>
  </si>
  <si>
    <t>CONTACTO:</t>
  </si>
  <si>
    <t>FLETE COTIZADO</t>
  </si>
  <si>
    <t>LAB: MONTERREY NL. (FLETE POR CUENTA Y RIESGO DEL CLIENTE)</t>
  </si>
  <si>
    <t>GRACIAS, ESPERAMOS VERNOS FAVORECIDOS CON SU PEDIDOY QUEDAMOS A SUS ORDENES PARA</t>
  </si>
  <si>
    <t>CUALQUIER DUDA O ACLARACION.</t>
  </si>
  <si>
    <t>ING. EDGAR OVIEDO.</t>
  </si>
  <si>
    <t xml:space="preserve"> Cel. 8186567321</t>
  </si>
  <si>
    <t>TIEMPO DE ENTREGA, 8 A 9 SEMANAS</t>
  </si>
  <si>
    <t>Srita. Thalia Chavez.</t>
  </si>
  <si>
    <t>Culiacan, Sinaloa.</t>
  </si>
  <si>
    <t>RIESGO DEL CLIENTE, SEGURO PARA FLETE 1.3% OPCIONAL, NO INCLUYE MANIOBRAS.</t>
  </si>
  <si>
    <t>FLETE COTIZADO POR  TRANSPORTES SINALOA EXPRES</t>
  </si>
  <si>
    <t xml:space="preserve">FLETE A CULIACAN, SINALOA. $5,000.00 EL FLETE ES ESTIMADO Y ES POR CUENTA Y </t>
  </si>
  <si>
    <r>
      <t xml:space="preserve">SILLA TIFFANY: FABRICADA CON TUBO DE ACERO DE  1-1/4 CALIBRE 20 EN SU ESTRUCTURA PRINCIPAL Y TUBO DE 5/8 Y 3/4 PARA EL RESTO DE LA SILLA, TUBOS TORNEADOS EN TODOS SUS COMPONENTES, ACABADA CON PINTURA EN POLVO ELECTROESTATICA HORNEADA, NUESTRA SILLA ES TOTALMENTE APILABLE, PINTADA EN COLOR </t>
    </r>
    <r>
      <rPr>
        <b/>
        <u/>
        <sz val="9"/>
        <color theme="1"/>
        <rFont val="Calibri"/>
        <family val="2"/>
        <scheme val="minor"/>
      </rPr>
      <t>BLANCO</t>
    </r>
    <r>
      <rPr>
        <b/>
        <sz val="9"/>
        <color theme="1"/>
        <rFont val="Calibri"/>
        <family val="2"/>
        <scheme val="minor"/>
      </rPr>
      <t xml:space="preserve"> CON ASIENTO FIJO TAPIZADO EN COLOR </t>
    </r>
    <r>
      <rPr>
        <b/>
        <u/>
        <sz val="9"/>
        <color theme="1"/>
        <rFont val="Calibri"/>
        <family val="2"/>
        <scheme val="minor"/>
      </rPr>
      <t>BLANCO.</t>
    </r>
  </si>
  <si>
    <t>ASESOR:</t>
  </si>
  <si>
    <t>EOP</t>
  </si>
  <si>
    <t>IMAGEN</t>
  </si>
  <si>
    <t>E-MAIL: ventas2@mayoreodesillas.com  WEB: www.mayoreodesillas.net Tels. 81-83072712, 81-83971024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</si>
</sst>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[$-1540A]dd\ mmmm\,\ yyyy;@"/>
    <numFmt numFmtId="165" formatCode="0_ ;\-0\ 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4"/>
      <color theme="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i/>
      <sz val="12"/>
      <name val="Arial"/>
      <family val="2"/>
    </font>
    <font>
      <u/>
      <sz val="10"/>
      <color theme="10"/>
      <name val="Arial"/>
      <family val="2"/>
    </font>
    <font>
      <b/>
      <sz val="13"/>
      <name val="Arial"/>
      <family val="2"/>
    </font>
    <font>
      <b/>
      <sz val="10"/>
      <name val="Arial"/>
      <family val="2"/>
    </font>
    <font>
      <b/>
      <sz val="12"/>
      <color rgb="FF000000"/>
      <name val="Arial"/>
      <family val="2"/>
    </font>
    <font>
      <sz val="12"/>
      <name val="Arial"/>
      <family val="2"/>
    </font>
    <font>
      <b/>
      <sz val="10.5"/>
      <name val="Arial"/>
      <family val="2"/>
    </font>
    <font>
      <b/>
      <sz val="10"/>
      <color theme="3" tint="-0.499984740745262"/>
      <name val="Arial"/>
      <family val="2"/>
    </font>
    <font>
      <sz val="10.5"/>
      <name val="Arial"/>
      <family val="2"/>
    </font>
    <font>
      <sz val="12"/>
      <color theme="1"/>
      <name val="Arial"/>
      <family val="2"/>
    </font>
    <font>
      <sz val="20"/>
      <color theme="1"/>
      <name val="Calibri"/>
      <family val="2"/>
      <scheme val="minor"/>
    </font>
    <font>
      <b/>
      <sz val="9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31"/>
      <color theme="1"/>
      <name val="Cambria"/>
      <family val="1"/>
    </font>
    <font>
      <b/>
      <i/>
      <sz val="16"/>
      <color rgb="FF8C6635"/>
      <name val="Cambria"/>
      <family val="1"/>
    </font>
    <font>
      <b/>
      <sz val="12"/>
      <color rgb="FFFF0000"/>
      <name val="Arial"/>
      <family val="2"/>
    </font>
    <font>
      <b/>
      <sz val="16"/>
      <color rgb="FF8C6635"/>
      <name val="Arial"/>
      <family val="2"/>
    </font>
    <font>
      <b/>
      <sz val="12"/>
      <color theme="0"/>
      <name val="Arial"/>
      <family val="2"/>
    </font>
    <font>
      <sz val="1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C6635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5" fillId="0" borderId="0"/>
    <xf numFmtId="0" fontId="8" fillId="0" borderId="0" applyNumberFormat="0" applyFill="0" applyBorder="0" applyAlignment="0" applyProtection="0"/>
  </cellStyleXfs>
  <cellXfs count="79">
    <xf numFmtId="0" fontId="0" fillId="0" borderId="0" xfId="0"/>
    <xf numFmtId="0" fontId="2" fillId="2" borderId="4" xfId="0" applyFont="1" applyFill="1" applyBorder="1" applyAlignment="1">
      <alignment vertical="center"/>
    </xf>
    <xf numFmtId="0" fontId="0" fillId="2" borderId="0" xfId="0" applyFill="1"/>
    <xf numFmtId="0" fontId="0" fillId="2" borderId="5" xfId="0" applyFill="1" applyBorder="1"/>
    <xf numFmtId="164" fontId="3" fillId="2" borderId="0" xfId="0" applyNumberFormat="1" applyFont="1" applyFill="1" applyAlignment="1">
      <alignment vertical="center"/>
    </xf>
    <xf numFmtId="0" fontId="4" fillId="2" borderId="4" xfId="0" applyFont="1" applyFill="1" applyBorder="1" applyAlignment="1">
      <alignment horizontal="right" vertical="center"/>
    </xf>
    <xf numFmtId="0" fontId="4" fillId="2" borderId="0" xfId="2" applyFont="1" applyFill="1" applyAlignment="1">
      <alignment vertical="center"/>
    </xf>
    <xf numFmtId="164" fontId="6" fillId="2" borderId="0" xfId="0" applyNumberFormat="1" applyFont="1" applyFill="1" applyAlignment="1">
      <alignment horizontal="right" vertical="center"/>
    </xf>
    <xf numFmtId="164" fontId="6" fillId="2" borderId="5" xfId="0" applyNumberFormat="1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6" fillId="2" borderId="0" xfId="0" applyFont="1" applyFill="1"/>
    <xf numFmtId="44" fontId="6" fillId="2" borderId="0" xfId="1" applyFont="1" applyFill="1" applyBorder="1" applyAlignment="1"/>
    <xf numFmtId="0" fontId="7" fillId="2" borderId="0" xfId="2" applyFont="1" applyFill="1" applyAlignment="1">
      <alignment vertical="center"/>
    </xf>
    <xf numFmtId="0" fontId="4" fillId="2" borderId="9" xfId="0" applyFont="1" applyFill="1" applyBorder="1" applyAlignment="1">
      <alignment horizontal="center" vertical="center" wrapText="1"/>
    </xf>
    <xf numFmtId="44" fontId="4" fillId="2" borderId="9" xfId="1" applyFont="1" applyFill="1" applyBorder="1" applyAlignment="1">
      <alignment horizontal="center" vertical="center" wrapText="1"/>
    </xf>
    <xf numFmtId="0" fontId="6" fillId="2" borderId="4" xfId="0" applyFont="1" applyFill="1" applyBorder="1"/>
    <xf numFmtId="44" fontId="6" fillId="2" borderId="10" xfId="1" applyFont="1" applyFill="1" applyBorder="1" applyAlignment="1">
      <alignment horizontal="right"/>
    </xf>
    <xf numFmtId="44" fontId="6" fillId="2" borderId="9" xfId="1" applyFont="1" applyFill="1" applyBorder="1"/>
    <xf numFmtId="0" fontId="11" fillId="2" borderId="4" xfId="0" applyFont="1" applyFill="1" applyBorder="1"/>
    <xf numFmtId="0" fontId="12" fillId="2" borderId="4" xfId="0" applyFont="1" applyFill="1" applyBorder="1"/>
    <xf numFmtId="0" fontId="5" fillId="2" borderId="0" xfId="0" applyFont="1" applyFill="1"/>
    <xf numFmtId="0" fontId="13" fillId="2" borderId="4" xfId="0" applyFont="1" applyFill="1" applyBorder="1"/>
    <xf numFmtId="0" fontId="4" fillId="2" borderId="4" xfId="0" applyFont="1" applyFill="1" applyBorder="1"/>
    <xf numFmtId="0" fontId="13" fillId="2" borderId="0" xfId="0" applyFont="1" applyFill="1"/>
    <xf numFmtId="0" fontId="14" fillId="2" borderId="0" xfId="0" applyFont="1" applyFill="1"/>
    <xf numFmtId="0" fontId="5" fillId="2" borderId="5" xfId="0" applyFont="1" applyFill="1" applyBorder="1"/>
    <xf numFmtId="0" fontId="15" fillId="2" borderId="0" xfId="0" applyFont="1" applyFill="1"/>
    <xf numFmtId="0" fontId="16" fillId="2" borderId="4" xfId="0" applyFont="1" applyFill="1" applyBorder="1"/>
    <xf numFmtId="0" fontId="0" fillId="2" borderId="4" xfId="0" applyFill="1" applyBorder="1"/>
    <xf numFmtId="44" fontId="0" fillId="2" borderId="0" xfId="1" applyFont="1" applyFill="1" applyBorder="1"/>
    <xf numFmtId="44" fontId="0" fillId="2" borderId="5" xfId="1" applyFont="1" applyFill="1" applyBorder="1"/>
    <xf numFmtId="0" fontId="0" fillId="2" borderId="6" xfId="0" applyFill="1" applyBorder="1"/>
    <xf numFmtId="0" fontId="0" fillId="2" borderId="7" xfId="0" applyFill="1" applyBorder="1"/>
    <xf numFmtId="0" fontId="6" fillId="2" borderId="7" xfId="0" applyFont="1" applyFill="1" applyBorder="1" applyAlignment="1">
      <alignment horizontal="center"/>
    </xf>
    <xf numFmtId="44" fontId="0" fillId="2" borderId="7" xfId="1" applyFont="1" applyFill="1" applyBorder="1"/>
    <xf numFmtId="44" fontId="0" fillId="2" borderId="8" xfId="1" applyFont="1" applyFill="1" applyBorder="1"/>
    <xf numFmtId="0" fontId="17" fillId="0" borderId="0" xfId="0" applyFont="1"/>
    <xf numFmtId="0" fontId="8" fillId="2" borderId="0" xfId="3" applyFill="1" applyBorder="1" applyAlignment="1">
      <alignment vertical="center"/>
    </xf>
    <xf numFmtId="0" fontId="6" fillId="2" borderId="12" xfId="0" applyFont="1" applyFill="1" applyBorder="1"/>
    <xf numFmtId="0" fontId="5" fillId="2" borderId="13" xfId="0" applyFont="1" applyFill="1" applyBorder="1"/>
    <xf numFmtId="0" fontId="10" fillId="2" borderId="14" xfId="0" applyFont="1" applyFill="1" applyBorder="1"/>
    <xf numFmtId="0" fontId="10" fillId="2" borderId="0" xfId="0" applyFont="1" applyFill="1" applyAlignment="1">
      <alignment horizontal="right"/>
    </xf>
    <xf numFmtId="0" fontId="0" fillId="0" borderId="9" xfId="0" applyBorder="1"/>
    <xf numFmtId="0" fontId="6" fillId="2" borderId="0" xfId="0" applyFont="1" applyFill="1" applyAlignment="1">
      <alignment horizontal="left"/>
    </xf>
    <xf numFmtId="0" fontId="18" fillId="2" borderId="13" xfId="0" applyFont="1" applyFill="1" applyBorder="1" applyAlignment="1">
      <alignment vertical="center"/>
    </xf>
    <xf numFmtId="0" fontId="10" fillId="2" borderId="9" xfId="0" applyFont="1" applyFill="1" applyBorder="1" applyAlignment="1">
      <alignment vertical="top" wrapText="1"/>
    </xf>
    <xf numFmtId="0" fontId="19" fillId="0" borderId="9" xfId="0" applyFont="1" applyBorder="1" applyAlignment="1">
      <alignment vertical="top" wrapText="1"/>
    </xf>
    <xf numFmtId="0" fontId="21" fillId="0" borderId="9" xfId="0" applyFont="1" applyBorder="1" applyAlignment="1">
      <alignment horizontal="left" vertical="top" wrapText="1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vertical="top" wrapText="1"/>
    </xf>
    <xf numFmtId="0" fontId="6" fillId="2" borderId="0" xfId="0" applyFont="1" applyFill="1" applyAlignment="1">
      <alignment horizontal="right"/>
    </xf>
    <xf numFmtId="0" fontId="19" fillId="2" borderId="13" xfId="0" applyFont="1" applyFill="1" applyBorder="1" applyAlignment="1">
      <alignment horizontal="left"/>
    </xf>
    <xf numFmtId="0" fontId="20" fillId="2" borderId="13" xfId="0" applyFont="1" applyFill="1" applyBorder="1" applyAlignment="1">
      <alignment horizontal="left"/>
    </xf>
    <xf numFmtId="0" fontId="20" fillId="2" borderId="1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44" fontId="9" fillId="2" borderId="6" xfId="1" applyFont="1" applyFill="1" applyBorder="1" applyAlignment="1">
      <alignment horizontal="center"/>
    </xf>
    <xf numFmtId="44" fontId="9" fillId="2" borderId="7" xfId="1" applyFont="1" applyFill="1" applyBorder="1" applyAlignment="1">
      <alignment horizontal="center"/>
    </xf>
    <xf numFmtId="44" fontId="9" fillId="2" borderId="8" xfId="1" applyFont="1" applyFill="1" applyBorder="1" applyAlignment="1">
      <alignment horizontal="center"/>
    </xf>
    <xf numFmtId="0" fontId="24" fillId="2" borderId="1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5" fillId="2" borderId="5" xfId="0" applyFont="1" applyFill="1" applyBorder="1" applyAlignment="1">
      <alignment horizontal="center" vertical="center"/>
    </xf>
    <xf numFmtId="44" fontId="4" fillId="2" borderId="0" xfId="1" applyFont="1" applyFill="1" applyBorder="1" applyAlignment="1">
      <alignment horizontal="right" vertical="center"/>
    </xf>
    <xf numFmtId="44" fontId="4" fillId="2" borderId="5" xfId="1" applyFont="1" applyFill="1" applyBorder="1" applyAlignment="1">
      <alignment horizontal="center" vertical="center"/>
    </xf>
    <xf numFmtId="165" fontId="26" fillId="2" borderId="5" xfId="1" applyNumberFormat="1" applyFont="1" applyFill="1" applyBorder="1" applyAlignment="1">
      <alignment horizontal="center"/>
    </xf>
    <xf numFmtId="0" fontId="27" fillId="2" borderId="0" xfId="0" applyFont="1" applyFill="1" applyAlignment="1">
      <alignment horizontal="center"/>
    </xf>
    <xf numFmtId="0" fontId="26" fillId="2" borderId="4" xfId="0" applyFont="1" applyFill="1" applyBorder="1"/>
    <xf numFmtId="44" fontId="26" fillId="2" borderId="10" xfId="1" applyFont="1" applyFill="1" applyBorder="1" applyAlignment="1">
      <alignment horizontal="right"/>
    </xf>
    <xf numFmtId="0" fontId="28" fillId="3" borderId="10" xfId="0" applyFont="1" applyFill="1" applyBorder="1" applyAlignment="1">
      <alignment horizontal="center" vertical="center" wrapText="1"/>
    </xf>
    <xf numFmtId="0" fontId="28" fillId="3" borderId="9" xfId="0" applyFont="1" applyFill="1" applyBorder="1" applyAlignment="1">
      <alignment horizontal="center" vertical="center" wrapText="1"/>
    </xf>
    <xf numFmtId="44" fontId="28" fillId="3" borderId="11" xfId="1" applyFont="1" applyFill="1" applyBorder="1" applyAlignment="1">
      <alignment horizontal="center" vertical="center" wrapText="1"/>
    </xf>
    <xf numFmtId="44" fontId="28" fillId="3" borderId="9" xfId="1" applyFont="1" applyFill="1" applyBorder="1" applyAlignment="1">
      <alignment horizontal="center" vertical="center" wrapText="1"/>
    </xf>
    <xf numFmtId="0" fontId="29" fillId="2" borderId="4" xfId="0" applyFont="1" applyFill="1" applyBorder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29" fillId="2" borderId="5" xfId="0" applyFont="1" applyFill="1" applyBorder="1" applyAlignment="1">
      <alignment horizontal="center" vertical="center"/>
    </xf>
  </cellXfs>
  <cellStyles count="4">
    <cellStyle name="Hipervínculo" xfId="3" builtinId="8"/>
    <cellStyle name="Moneda" xfId="1" builtinId="4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colors>
    <mruColors>
      <color rgb="FF8C66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2752725</xdr:colOff>
      <xdr:row>19</xdr:row>
      <xdr:rowOff>0</xdr:rowOff>
    </xdr:from>
    <xdr:ext cx="962025" cy="0"/>
    <xdr:pic>
      <xdr:nvPicPr>
        <xdr:cNvPr id="2" name="7 Imagen" descr="FTT-250D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19</xdr:row>
      <xdr:rowOff>0</xdr:rowOff>
    </xdr:from>
    <xdr:ext cx="1009650" cy="0"/>
    <xdr:pic>
      <xdr:nvPicPr>
        <xdr:cNvPr id="3" name="8 Imagen" descr="FTT-250I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19</xdr:row>
      <xdr:rowOff>0</xdr:rowOff>
    </xdr:from>
    <xdr:ext cx="962025" cy="0"/>
    <xdr:pic>
      <xdr:nvPicPr>
        <xdr:cNvPr id="4" name="7 Imagen" descr="FTT-250D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19</xdr:row>
      <xdr:rowOff>0</xdr:rowOff>
    </xdr:from>
    <xdr:ext cx="1009650" cy="0"/>
    <xdr:pic>
      <xdr:nvPicPr>
        <xdr:cNvPr id="5" name="8 Imagen" descr="FTT-250I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3</xdr:col>
      <xdr:colOff>0</xdr:colOff>
      <xdr:row>19</xdr:row>
      <xdr:rowOff>0</xdr:rowOff>
    </xdr:from>
    <xdr:to>
      <xdr:col>3</xdr:col>
      <xdr:colOff>758825</xdr:colOff>
      <xdr:row>19</xdr:row>
      <xdr:rowOff>186267</xdr:rowOff>
    </xdr:to>
    <xdr:sp macro="" textlink="">
      <xdr:nvSpPr>
        <xdr:cNvPr id="6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531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758825</xdr:colOff>
      <xdr:row>19</xdr:row>
      <xdr:rowOff>186267</xdr:rowOff>
    </xdr:to>
    <xdr:sp macro="" textlink="">
      <xdr:nvSpPr>
        <xdr:cNvPr id="7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531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2752725</xdr:colOff>
      <xdr:row>20</xdr:row>
      <xdr:rowOff>0</xdr:rowOff>
    </xdr:from>
    <xdr:ext cx="962025" cy="0"/>
    <xdr:pic>
      <xdr:nvPicPr>
        <xdr:cNvPr id="8" name="7 Imagen" descr="FTT-250D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344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20</xdr:row>
      <xdr:rowOff>0</xdr:rowOff>
    </xdr:from>
    <xdr:ext cx="1009650" cy="0"/>
    <xdr:pic>
      <xdr:nvPicPr>
        <xdr:cNvPr id="9" name="8 Imagen" descr="FTT-250I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344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20</xdr:row>
      <xdr:rowOff>0</xdr:rowOff>
    </xdr:from>
    <xdr:ext cx="962025" cy="0"/>
    <xdr:pic>
      <xdr:nvPicPr>
        <xdr:cNvPr id="10" name="7 Imagen" descr="FTT-250D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344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20</xdr:row>
      <xdr:rowOff>0</xdr:rowOff>
    </xdr:from>
    <xdr:ext cx="1009650" cy="0"/>
    <xdr:pic>
      <xdr:nvPicPr>
        <xdr:cNvPr id="11" name="8 Imagen" descr="FTT-250I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344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3</xdr:col>
      <xdr:colOff>0</xdr:colOff>
      <xdr:row>20</xdr:row>
      <xdr:rowOff>0</xdr:rowOff>
    </xdr:from>
    <xdr:to>
      <xdr:col>3</xdr:col>
      <xdr:colOff>758825</xdr:colOff>
      <xdr:row>21</xdr:row>
      <xdr:rowOff>24342</xdr:rowOff>
    </xdr:to>
    <xdr:sp macro="" textlink="">
      <xdr:nvSpPr>
        <xdr:cNvPr id="12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3445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758825</xdr:colOff>
      <xdr:row>21</xdr:row>
      <xdr:rowOff>24342</xdr:rowOff>
    </xdr:to>
    <xdr:sp macro="" textlink="">
      <xdr:nvSpPr>
        <xdr:cNvPr id="13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3445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2752725</xdr:colOff>
      <xdr:row>19</xdr:row>
      <xdr:rowOff>0</xdr:rowOff>
    </xdr:from>
    <xdr:ext cx="962025" cy="0"/>
    <xdr:pic>
      <xdr:nvPicPr>
        <xdr:cNvPr id="14" name="7 Imagen" descr="FTT-250D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19</xdr:row>
      <xdr:rowOff>0</xdr:rowOff>
    </xdr:from>
    <xdr:ext cx="1009650" cy="0"/>
    <xdr:pic>
      <xdr:nvPicPr>
        <xdr:cNvPr id="15" name="8 Imagen" descr="FTT-250I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19</xdr:row>
      <xdr:rowOff>0</xdr:rowOff>
    </xdr:from>
    <xdr:ext cx="962025" cy="0"/>
    <xdr:pic>
      <xdr:nvPicPr>
        <xdr:cNvPr id="16" name="7 Imagen" descr="FTT-250D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19</xdr:row>
      <xdr:rowOff>0</xdr:rowOff>
    </xdr:from>
    <xdr:ext cx="1009650" cy="0"/>
    <xdr:pic>
      <xdr:nvPicPr>
        <xdr:cNvPr id="17" name="8 Imagen" descr="FTT-250I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3</xdr:col>
      <xdr:colOff>0</xdr:colOff>
      <xdr:row>19</xdr:row>
      <xdr:rowOff>0</xdr:rowOff>
    </xdr:from>
    <xdr:to>
      <xdr:col>3</xdr:col>
      <xdr:colOff>758825</xdr:colOff>
      <xdr:row>19</xdr:row>
      <xdr:rowOff>186267</xdr:rowOff>
    </xdr:to>
    <xdr:sp macro="" textlink="">
      <xdr:nvSpPr>
        <xdr:cNvPr id="18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531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758825</xdr:colOff>
      <xdr:row>19</xdr:row>
      <xdr:rowOff>186267</xdr:rowOff>
    </xdr:to>
    <xdr:sp macro="" textlink="">
      <xdr:nvSpPr>
        <xdr:cNvPr id="19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531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2752725</xdr:colOff>
      <xdr:row>20</xdr:row>
      <xdr:rowOff>0</xdr:rowOff>
    </xdr:from>
    <xdr:ext cx="962025" cy="0"/>
    <xdr:pic>
      <xdr:nvPicPr>
        <xdr:cNvPr id="20" name="7 Imagen" descr="FTT-250D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344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20</xdr:row>
      <xdr:rowOff>0</xdr:rowOff>
    </xdr:from>
    <xdr:ext cx="1009650" cy="0"/>
    <xdr:pic>
      <xdr:nvPicPr>
        <xdr:cNvPr id="21" name="8 Imagen" descr="FTT-250I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344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20</xdr:row>
      <xdr:rowOff>0</xdr:rowOff>
    </xdr:from>
    <xdr:ext cx="962025" cy="0"/>
    <xdr:pic>
      <xdr:nvPicPr>
        <xdr:cNvPr id="22" name="7 Imagen" descr="FTT-250D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344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20</xdr:row>
      <xdr:rowOff>0</xdr:rowOff>
    </xdr:from>
    <xdr:ext cx="1009650" cy="0"/>
    <xdr:pic>
      <xdr:nvPicPr>
        <xdr:cNvPr id="23" name="8 Imagen" descr="FTT-250I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344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3</xdr:col>
      <xdr:colOff>0</xdr:colOff>
      <xdr:row>20</xdr:row>
      <xdr:rowOff>0</xdr:rowOff>
    </xdr:from>
    <xdr:to>
      <xdr:col>3</xdr:col>
      <xdr:colOff>758825</xdr:colOff>
      <xdr:row>21</xdr:row>
      <xdr:rowOff>24342</xdr:rowOff>
    </xdr:to>
    <xdr:sp macro="" textlink="">
      <xdr:nvSpPr>
        <xdr:cNvPr id="24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3445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758825</xdr:colOff>
      <xdr:row>21</xdr:row>
      <xdr:rowOff>24342</xdr:rowOff>
    </xdr:to>
    <xdr:sp macro="" textlink="">
      <xdr:nvSpPr>
        <xdr:cNvPr id="25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3445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2752725</xdr:colOff>
      <xdr:row>19</xdr:row>
      <xdr:rowOff>0</xdr:rowOff>
    </xdr:from>
    <xdr:ext cx="962025" cy="0"/>
    <xdr:pic>
      <xdr:nvPicPr>
        <xdr:cNvPr id="27" name="7 Imagen" descr="FTT-250D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19</xdr:row>
      <xdr:rowOff>0</xdr:rowOff>
    </xdr:from>
    <xdr:ext cx="1009650" cy="0"/>
    <xdr:pic>
      <xdr:nvPicPr>
        <xdr:cNvPr id="28" name="8 Imagen" descr="FTT-250I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19</xdr:row>
      <xdr:rowOff>0</xdr:rowOff>
    </xdr:from>
    <xdr:ext cx="962025" cy="0"/>
    <xdr:pic>
      <xdr:nvPicPr>
        <xdr:cNvPr id="29" name="7 Imagen" descr="FTT-250D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19</xdr:row>
      <xdr:rowOff>0</xdr:rowOff>
    </xdr:from>
    <xdr:ext cx="1009650" cy="0"/>
    <xdr:pic>
      <xdr:nvPicPr>
        <xdr:cNvPr id="30" name="8 Imagen" descr="FTT-250I.JP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3</xdr:col>
      <xdr:colOff>0</xdr:colOff>
      <xdr:row>19</xdr:row>
      <xdr:rowOff>0</xdr:rowOff>
    </xdr:from>
    <xdr:to>
      <xdr:col>3</xdr:col>
      <xdr:colOff>758825</xdr:colOff>
      <xdr:row>19</xdr:row>
      <xdr:rowOff>186267</xdr:rowOff>
    </xdr:to>
    <xdr:sp macro="" textlink="">
      <xdr:nvSpPr>
        <xdr:cNvPr id="31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531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758825</xdr:colOff>
      <xdr:row>19</xdr:row>
      <xdr:rowOff>186267</xdr:rowOff>
    </xdr:to>
    <xdr:sp macro="" textlink="">
      <xdr:nvSpPr>
        <xdr:cNvPr id="32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531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2752725</xdr:colOff>
      <xdr:row>20</xdr:row>
      <xdr:rowOff>0</xdr:rowOff>
    </xdr:from>
    <xdr:ext cx="962025" cy="0"/>
    <xdr:pic>
      <xdr:nvPicPr>
        <xdr:cNvPr id="33" name="7 Imagen" descr="FTT-250D.JP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344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20</xdr:row>
      <xdr:rowOff>0</xdr:rowOff>
    </xdr:from>
    <xdr:ext cx="1009650" cy="0"/>
    <xdr:pic>
      <xdr:nvPicPr>
        <xdr:cNvPr id="34" name="8 Imagen" descr="FTT-250I.JP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344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20</xdr:row>
      <xdr:rowOff>0</xdr:rowOff>
    </xdr:from>
    <xdr:ext cx="962025" cy="0"/>
    <xdr:pic>
      <xdr:nvPicPr>
        <xdr:cNvPr id="35" name="7 Imagen" descr="FTT-250D.JP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344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20</xdr:row>
      <xdr:rowOff>0</xdr:rowOff>
    </xdr:from>
    <xdr:ext cx="1009650" cy="0"/>
    <xdr:pic>
      <xdr:nvPicPr>
        <xdr:cNvPr id="36" name="8 Imagen" descr="FTT-250I.JP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344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3</xdr:col>
      <xdr:colOff>0</xdr:colOff>
      <xdr:row>20</xdr:row>
      <xdr:rowOff>0</xdr:rowOff>
    </xdr:from>
    <xdr:to>
      <xdr:col>3</xdr:col>
      <xdr:colOff>758825</xdr:colOff>
      <xdr:row>21</xdr:row>
      <xdr:rowOff>24342</xdr:rowOff>
    </xdr:to>
    <xdr:sp macro="" textlink="">
      <xdr:nvSpPr>
        <xdr:cNvPr id="37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3445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758825</xdr:colOff>
      <xdr:row>21</xdr:row>
      <xdr:rowOff>24342</xdr:rowOff>
    </xdr:to>
    <xdr:sp macro="" textlink="">
      <xdr:nvSpPr>
        <xdr:cNvPr id="38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3445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2752725</xdr:colOff>
      <xdr:row>19</xdr:row>
      <xdr:rowOff>0</xdr:rowOff>
    </xdr:from>
    <xdr:ext cx="962025" cy="0"/>
    <xdr:pic>
      <xdr:nvPicPr>
        <xdr:cNvPr id="39" name="7 Imagen" descr="FTT-250D.JP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19</xdr:row>
      <xdr:rowOff>0</xdr:rowOff>
    </xdr:from>
    <xdr:ext cx="1009650" cy="0"/>
    <xdr:pic>
      <xdr:nvPicPr>
        <xdr:cNvPr id="40" name="8 Imagen" descr="FTT-250I.JP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19</xdr:row>
      <xdr:rowOff>0</xdr:rowOff>
    </xdr:from>
    <xdr:ext cx="962025" cy="0"/>
    <xdr:pic>
      <xdr:nvPicPr>
        <xdr:cNvPr id="41" name="7 Imagen" descr="FTT-250D.JP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19</xdr:row>
      <xdr:rowOff>0</xdr:rowOff>
    </xdr:from>
    <xdr:ext cx="1009650" cy="0"/>
    <xdr:pic>
      <xdr:nvPicPr>
        <xdr:cNvPr id="42" name="8 Imagen" descr="FTT-250I.JP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3</xdr:col>
      <xdr:colOff>0</xdr:colOff>
      <xdr:row>19</xdr:row>
      <xdr:rowOff>0</xdr:rowOff>
    </xdr:from>
    <xdr:to>
      <xdr:col>3</xdr:col>
      <xdr:colOff>758825</xdr:colOff>
      <xdr:row>19</xdr:row>
      <xdr:rowOff>186267</xdr:rowOff>
    </xdr:to>
    <xdr:sp macro="" textlink="">
      <xdr:nvSpPr>
        <xdr:cNvPr id="43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531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758825</xdr:colOff>
      <xdr:row>19</xdr:row>
      <xdr:rowOff>186267</xdr:rowOff>
    </xdr:to>
    <xdr:sp macro="" textlink="">
      <xdr:nvSpPr>
        <xdr:cNvPr id="44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531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2752725</xdr:colOff>
      <xdr:row>20</xdr:row>
      <xdr:rowOff>0</xdr:rowOff>
    </xdr:from>
    <xdr:ext cx="962025" cy="0"/>
    <xdr:pic>
      <xdr:nvPicPr>
        <xdr:cNvPr id="45" name="7 Imagen" descr="FTT-250D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344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20</xdr:row>
      <xdr:rowOff>0</xdr:rowOff>
    </xdr:from>
    <xdr:ext cx="1009650" cy="0"/>
    <xdr:pic>
      <xdr:nvPicPr>
        <xdr:cNvPr id="46" name="8 Imagen" descr="FTT-250I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344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20</xdr:row>
      <xdr:rowOff>0</xdr:rowOff>
    </xdr:from>
    <xdr:ext cx="962025" cy="0"/>
    <xdr:pic>
      <xdr:nvPicPr>
        <xdr:cNvPr id="47" name="7 Imagen" descr="FTT-250D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344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20</xdr:row>
      <xdr:rowOff>0</xdr:rowOff>
    </xdr:from>
    <xdr:ext cx="1009650" cy="0"/>
    <xdr:pic>
      <xdr:nvPicPr>
        <xdr:cNvPr id="48" name="8 Imagen" descr="FTT-250I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344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3</xdr:col>
      <xdr:colOff>0</xdr:colOff>
      <xdr:row>20</xdr:row>
      <xdr:rowOff>0</xdr:rowOff>
    </xdr:from>
    <xdr:to>
      <xdr:col>3</xdr:col>
      <xdr:colOff>758825</xdr:colOff>
      <xdr:row>21</xdr:row>
      <xdr:rowOff>24342</xdr:rowOff>
    </xdr:to>
    <xdr:sp macro="" textlink="">
      <xdr:nvSpPr>
        <xdr:cNvPr id="49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3445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758825</xdr:colOff>
      <xdr:row>21</xdr:row>
      <xdr:rowOff>24342</xdr:rowOff>
    </xdr:to>
    <xdr:sp macro="" textlink="">
      <xdr:nvSpPr>
        <xdr:cNvPr id="50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3445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2752725</xdr:colOff>
      <xdr:row>19</xdr:row>
      <xdr:rowOff>0</xdr:rowOff>
    </xdr:from>
    <xdr:ext cx="962025" cy="0"/>
    <xdr:pic>
      <xdr:nvPicPr>
        <xdr:cNvPr id="55" name="7 Imagen" descr="FTT-250D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19</xdr:row>
      <xdr:rowOff>0</xdr:rowOff>
    </xdr:from>
    <xdr:ext cx="1009650" cy="0"/>
    <xdr:pic>
      <xdr:nvPicPr>
        <xdr:cNvPr id="56" name="8 Imagen" descr="FTT-250I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19</xdr:row>
      <xdr:rowOff>0</xdr:rowOff>
    </xdr:from>
    <xdr:ext cx="962025" cy="0"/>
    <xdr:pic>
      <xdr:nvPicPr>
        <xdr:cNvPr id="57" name="7 Imagen" descr="FTT-250D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19</xdr:row>
      <xdr:rowOff>0</xdr:rowOff>
    </xdr:from>
    <xdr:ext cx="1009650" cy="0"/>
    <xdr:pic>
      <xdr:nvPicPr>
        <xdr:cNvPr id="58" name="8 Imagen" descr="FTT-250I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3</xdr:col>
      <xdr:colOff>0</xdr:colOff>
      <xdr:row>19</xdr:row>
      <xdr:rowOff>0</xdr:rowOff>
    </xdr:from>
    <xdr:to>
      <xdr:col>3</xdr:col>
      <xdr:colOff>758825</xdr:colOff>
      <xdr:row>19</xdr:row>
      <xdr:rowOff>186267</xdr:rowOff>
    </xdr:to>
    <xdr:sp macro="" textlink="">
      <xdr:nvSpPr>
        <xdr:cNvPr id="59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531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758825</xdr:colOff>
      <xdr:row>19</xdr:row>
      <xdr:rowOff>186267</xdr:rowOff>
    </xdr:to>
    <xdr:sp macro="" textlink="">
      <xdr:nvSpPr>
        <xdr:cNvPr id="60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531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2752725</xdr:colOff>
      <xdr:row>20</xdr:row>
      <xdr:rowOff>0</xdr:rowOff>
    </xdr:from>
    <xdr:ext cx="962025" cy="0"/>
    <xdr:pic>
      <xdr:nvPicPr>
        <xdr:cNvPr id="61" name="7 Imagen" descr="FTT-250D.JP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344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20</xdr:row>
      <xdr:rowOff>0</xdr:rowOff>
    </xdr:from>
    <xdr:ext cx="1009650" cy="0"/>
    <xdr:pic>
      <xdr:nvPicPr>
        <xdr:cNvPr id="62" name="8 Imagen" descr="FTT-250I.JP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344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20</xdr:row>
      <xdr:rowOff>0</xdr:rowOff>
    </xdr:from>
    <xdr:ext cx="962025" cy="0"/>
    <xdr:pic>
      <xdr:nvPicPr>
        <xdr:cNvPr id="63" name="7 Imagen" descr="FTT-250D.JP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344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20</xdr:row>
      <xdr:rowOff>0</xdr:rowOff>
    </xdr:from>
    <xdr:ext cx="1009650" cy="0"/>
    <xdr:pic>
      <xdr:nvPicPr>
        <xdr:cNvPr id="64" name="8 Imagen" descr="FTT-250I.JPG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344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3</xdr:col>
      <xdr:colOff>0</xdr:colOff>
      <xdr:row>20</xdr:row>
      <xdr:rowOff>0</xdr:rowOff>
    </xdr:from>
    <xdr:to>
      <xdr:col>3</xdr:col>
      <xdr:colOff>758825</xdr:colOff>
      <xdr:row>21</xdr:row>
      <xdr:rowOff>24342</xdr:rowOff>
    </xdr:to>
    <xdr:sp macro="" textlink="">
      <xdr:nvSpPr>
        <xdr:cNvPr id="65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3445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758825</xdr:colOff>
      <xdr:row>21</xdr:row>
      <xdr:rowOff>24342</xdr:rowOff>
    </xdr:to>
    <xdr:sp macro="" textlink="">
      <xdr:nvSpPr>
        <xdr:cNvPr id="66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3445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2752725</xdr:colOff>
      <xdr:row>19</xdr:row>
      <xdr:rowOff>0</xdr:rowOff>
    </xdr:from>
    <xdr:ext cx="962025" cy="0"/>
    <xdr:pic>
      <xdr:nvPicPr>
        <xdr:cNvPr id="67" name="7 Imagen" descr="FTT-250D.JP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19</xdr:row>
      <xdr:rowOff>0</xdr:rowOff>
    </xdr:from>
    <xdr:ext cx="1009650" cy="0"/>
    <xdr:pic>
      <xdr:nvPicPr>
        <xdr:cNvPr id="68" name="8 Imagen" descr="FTT-250I.JP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19</xdr:row>
      <xdr:rowOff>0</xdr:rowOff>
    </xdr:from>
    <xdr:ext cx="962025" cy="0"/>
    <xdr:pic>
      <xdr:nvPicPr>
        <xdr:cNvPr id="69" name="7 Imagen" descr="FTT-250D.JP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19</xdr:row>
      <xdr:rowOff>0</xdr:rowOff>
    </xdr:from>
    <xdr:ext cx="1009650" cy="0"/>
    <xdr:pic>
      <xdr:nvPicPr>
        <xdr:cNvPr id="70" name="8 Imagen" descr="FTT-250I.JPG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3</xdr:col>
      <xdr:colOff>0</xdr:colOff>
      <xdr:row>19</xdr:row>
      <xdr:rowOff>0</xdr:rowOff>
    </xdr:from>
    <xdr:to>
      <xdr:col>3</xdr:col>
      <xdr:colOff>758825</xdr:colOff>
      <xdr:row>19</xdr:row>
      <xdr:rowOff>186267</xdr:rowOff>
    </xdr:to>
    <xdr:sp macro="" textlink="">
      <xdr:nvSpPr>
        <xdr:cNvPr id="71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531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758825</xdr:colOff>
      <xdr:row>19</xdr:row>
      <xdr:rowOff>186267</xdr:rowOff>
    </xdr:to>
    <xdr:sp macro="" textlink="">
      <xdr:nvSpPr>
        <xdr:cNvPr id="72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531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2752725</xdr:colOff>
      <xdr:row>20</xdr:row>
      <xdr:rowOff>0</xdr:rowOff>
    </xdr:from>
    <xdr:ext cx="962025" cy="0"/>
    <xdr:pic>
      <xdr:nvPicPr>
        <xdr:cNvPr id="73" name="7 Imagen" descr="FTT-250D.JP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344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20</xdr:row>
      <xdr:rowOff>0</xdr:rowOff>
    </xdr:from>
    <xdr:ext cx="1009650" cy="0"/>
    <xdr:pic>
      <xdr:nvPicPr>
        <xdr:cNvPr id="74" name="8 Imagen" descr="FTT-250I.JPG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344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20</xdr:row>
      <xdr:rowOff>0</xdr:rowOff>
    </xdr:from>
    <xdr:ext cx="962025" cy="0"/>
    <xdr:pic>
      <xdr:nvPicPr>
        <xdr:cNvPr id="75" name="7 Imagen" descr="FTT-250D.JP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344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20</xdr:row>
      <xdr:rowOff>0</xdr:rowOff>
    </xdr:from>
    <xdr:ext cx="1009650" cy="0"/>
    <xdr:pic>
      <xdr:nvPicPr>
        <xdr:cNvPr id="76" name="8 Imagen" descr="FTT-250I.JP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344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3</xdr:col>
      <xdr:colOff>0</xdr:colOff>
      <xdr:row>20</xdr:row>
      <xdr:rowOff>0</xdr:rowOff>
    </xdr:from>
    <xdr:to>
      <xdr:col>3</xdr:col>
      <xdr:colOff>758825</xdr:colOff>
      <xdr:row>21</xdr:row>
      <xdr:rowOff>24342</xdr:rowOff>
    </xdr:to>
    <xdr:sp macro="" textlink="">
      <xdr:nvSpPr>
        <xdr:cNvPr id="77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3445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758825</xdr:colOff>
      <xdr:row>21</xdr:row>
      <xdr:rowOff>24342</xdr:rowOff>
    </xdr:to>
    <xdr:sp macro="" textlink="">
      <xdr:nvSpPr>
        <xdr:cNvPr id="78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3445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2752725</xdr:colOff>
      <xdr:row>19</xdr:row>
      <xdr:rowOff>0</xdr:rowOff>
    </xdr:from>
    <xdr:ext cx="962025" cy="0"/>
    <xdr:pic>
      <xdr:nvPicPr>
        <xdr:cNvPr id="80" name="7 Imagen" descr="FTT-250D.JPG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19</xdr:row>
      <xdr:rowOff>0</xdr:rowOff>
    </xdr:from>
    <xdr:ext cx="1009650" cy="0"/>
    <xdr:pic>
      <xdr:nvPicPr>
        <xdr:cNvPr id="81" name="8 Imagen" descr="FTT-250I.JPG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19</xdr:row>
      <xdr:rowOff>0</xdr:rowOff>
    </xdr:from>
    <xdr:ext cx="962025" cy="0"/>
    <xdr:pic>
      <xdr:nvPicPr>
        <xdr:cNvPr id="82" name="7 Imagen" descr="FTT-250D.JPG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19</xdr:row>
      <xdr:rowOff>0</xdr:rowOff>
    </xdr:from>
    <xdr:ext cx="1009650" cy="0"/>
    <xdr:pic>
      <xdr:nvPicPr>
        <xdr:cNvPr id="83" name="8 Imagen" descr="FTT-250I.JPG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3</xdr:col>
      <xdr:colOff>0</xdr:colOff>
      <xdr:row>19</xdr:row>
      <xdr:rowOff>0</xdr:rowOff>
    </xdr:from>
    <xdr:to>
      <xdr:col>3</xdr:col>
      <xdr:colOff>758825</xdr:colOff>
      <xdr:row>19</xdr:row>
      <xdr:rowOff>186267</xdr:rowOff>
    </xdr:to>
    <xdr:sp macro="" textlink="">
      <xdr:nvSpPr>
        <xdr:cNvPr id="84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531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758825</xdr:colOff>
      <xdr:row>19</xdr:row>
      <xdr:rowOff>186267</xdr:rowOff>
    </xdr:to>
    <xdr:sp macro="" textlink="">
      <xdr:nvSpPr>
        <xdr:cNvPr id="85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531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2752725</xdr:colOff>
      <xdr:row>20</xdr:row>
      <xdr:rowOff>0</xdr:rowOff>
    </xdr:from>
    <xdr:ext cx="962025" cy="0"/>
    <xdr:pic>
      <xdr:nvPicPr>
        <xdr:cNvPr id="86" name="7 Imagen" descr="FTT-250D.JPG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344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20</xdr:row>
      <xdr:rowOff>0</xdr:rowOff>
    </xdr:from>
    <xdr:ext cx="1009650" cy="0"/>
    <xdr:pic>
      <xdr:nvPicPr>
        <xdr:cNvPr id="87" name="8 Imagen" descr="FTT-250I.JPG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344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20</xdr:row>
      <xdr:rowOff>0</xdr:rowOff>
    </xdr:from>
    <xdr:ext cx="962025" cy="0"/>
    <xdr:pic>
      <xdr:nvPicPr>
        <xdr:cNvPr id="88" name="7 Imagen" descr="FTT-250D.JPG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344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20</xdr:row>
      <xdr:rowOff>0</xdr:rowOff>
    </xdr:from>
    <xdr:ext cx="1009650" cy="0"/>
    <xdr:pic>
      <xdr:nvPicPr>
        <xdr:cNvPr id="89" name="8 Imagen" descr="FTT-250I.JPG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344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3</xdr:col>
      <xdr:colOff>0</xdr:colOff>
      <xdr:row>20</xdr:row>
      <xdr:rowOff>0</xdr:rowOff>
    </xdr:from>
    <xdr:to>
      <xdr:col>3</xdr:col>
      <xdr:colOff>758825</xdr:colOff>
      <xdr:row>21</xdr:row>
      <xdr:rowOff>24342</xdr:rowOff>
    </xdr:to>
    <xdr:sp macro="" textlink="">
      <xdr:nvSpPr>
        <xdr:cNvPr id="90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3445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758825</xdr:colOff>
      <xdr:row>21</xdr:row>
      <xdr:rowOff>24342</xdr:rowOff>
    </xdr:to>
    <xdr:sp macro="" textlink="">
      <xdr:nvSpPr>
        <xdr:cNvPr id="91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3445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2752725</xdr:colOff>
      <xdr:row>19</xdr:row>
      <xdr:rowOff>0</xdr:rowOff>
    </xdr:from>
    <xdr:ext cx="962025" cy="0"/>
    <xdr:pic>
      <xdr:nvPicPr>
        <xdr:cNvPr id="92" name="7 Imagen" descr="FTT-250D.JPG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19</xdr:row>
      <xdr:rowOff>0</xdr:rowOff>
    </xdr:from>
    <xdr:ext cx="1009650" cy="0"/>
    <xdr:pic>
      <xdr:nvPicPr>
        <xdr:cNvPr id="93" name="8 Imagen" descr="FTT-250I.JPG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19</xdr:row>
      <xdr:rowOff>0</xdr:rowOff>
    </xdr:from>
    <xdr:ext cx="962025" cy="0"/>
    <xdr:pic>
      <xdr:nvPicPr>
        <xdr:cNvPr id="94" name="7 Imagen" descr="FTT-250D.JPG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19</xdr:row>
      <xdr:rowOff>0</xdr:rowOff>
    </xdr:from>
    <xdr:ext cx="1009650" cy="0"/>
    <xdr:pic>
      <xdr:nvPicPr>
        <xdr:cNvPr id="95" name="8 Imagen" descr="FTT-250I.JPG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3</xdr:col>
      <xdr:colOff>0</xdr:colOff>
      <xdr:row>19</xdr:row>
      <xdr:rowOff>0</xdr:rowOff>
    </xdr:from>
    <xdr:to>
      <xdr:col>3</xdr:col>
      <xdr:colOff>758825</xdr:colOff>
      <xdr:row>19</xdr:row>
      <xdr:rowOff>186267</xdr:rowOff>
    </xdr:to>
    <xdr:sp macro="" textlink="">
      <xdr:nvSpPr>
        <xdr:cNvPr id="96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531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758825</xdr:colOff>
      <xdr:row>19</xdr:row>
      <xdr:rowOff>186267</xdr:rowOff>
    </xdr:to>
    <xdr:sp macro="" textlink="">
      <xdr:nvSpPr>
        <xdr:cNvPr id="97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531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2752725</xdr:colOff>
      <xdr:row>20</xdr:row>
      <xdr:rowOff>0</xdr:rowOff>
    </xdr:from>
    <xdr:ext cx="962025" cy="0"/>
    <xdr:pic>
      <xdr:nvPicPr>
        <xdr:cNvPr id="98" name="7 Imagen" descr="FTT-250D.JPG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344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20</xdr:row>
      <xdr:rowOff>0</xdr:rowOff>
    </xdr:from>
    <xdr:ext cx="1009650" cy="0"/>
    <xdr:pic>
      <xdr:nvPicPr>
        <xdr:cNvPr id="99" name="8 Imagen" descr="FTT-250I.JPG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344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20</xdr:row>
      <xdr:rowOff>0</xdr:rowOff>
    </xdr:from>
    <xdr:ext cx="962025" cy="0"/>
    <xdr:pic>
      <xdr:nvPicPr>
        <xdr:cNvPr id="100" name="7 Imagen" descr="FTT-250D.JPG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344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20</xdr:row>
      <xdr:rowOff>0</xdr:rowOff>
    </xdr:from>
    <xdr:ext cx="1009650" cy="0"/>
    <xdr:pic>
      <xdr:nvPicPr>
        <xdr:cNvPr id="101" name="8 Imagen" descr="FTT-250I.JPG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344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3</xdr:col>
      <xdr:colOff>0</xdr:colOff>
      <xdr:row>20</xdr:row>
      <xdr:rowOff>0</xdr:rowOff>
    </xdr:from>
    <xdr:to>
      <xdr:col>3</xdr:col>
      <xdr:colOff>758825</xdr:colOff>
      <xdr:row>21</xdr:row>
      <xdr:rowOff>24342</xdr:rowOff>
    </xdr:to>
    <xdr:sp macro="" textlink="">
      <xdr:nvSpPr>
        <xdr:cNvPr id="102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3445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758825</xdr:colOff>
      <xdr:row>21</xdr:row>
      <xdr:rowOff>24342</xdr:rowOff>
    </xdr:to>
    <xdr:sp macro="" textlink="">
      <xdr:nvSpPr>
        <xdr:cNvPr id="103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3445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107" name="AutoShape 4" descr="http://www.cristaleriasmartinez.com.mx/img/THUSLRCF0860.jpg">
          <a:extLst>
            <a:ext uri="{FF2B5EF4-FFF2-40B4-BE49-F238E27FC236}">
              <a16:creationId xmlns:a16="http://schemas.microsoft.com/office/drawing/2014/main" id="{7D5F443B-0BB2-44AC-A579-89B6C4FFE49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5815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109" name="AutoShape 4" descr="http://www.cristaleriasmartinez.com.mx/img/THUSLRCF0860.jpg">
          <a:extLst>
            <a:ext uri="{FF2B5EF4-FFF2-40B4-BE49-F238E27FC236}">
              <a16:creationId xmlns:a16="http://schemas.microsoft.com/office/drawing/2014/main" id="{C6AE85D7-E62E-446F-86C1-0A5AD7DFA82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5815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112" name="AutoShape 4" descr="http://www.cristaleriasmartinez.com.mx/img/THUSLRCF0860.jpg">
          <a:extLst>
            <a:ext uri="{FF2B5EF4-FFF2-40B4-BE49-F238E27FC236}">
              <a16:creationId xmlns:a16="http://schemas.microsoft.com/office/drawing/2014/main" id="{B758EA44-BC11-49CA-BA10-5BD791E52A9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5815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113" name="AutoShape 4" descr="http://www.cristaleriasmartinez.com.mx/img/THUSLRCF0860.jpg">
          <a:extLst>
            <a:ext uri="{FF2B5EF4-FFF2-40B4-BE49-F238E27FC236}">
              <a16:creationId xmlns:a16="http://schemas.microsoft.com/office/drawing/2014/main" id="{F58AEEA2-4EE9-471F-8C47-DEE3F58D369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5815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114" name="AutoShape 4" descr="http://www.cristaleriasmartinez.com.mx/img/THUSLRCF0860.jpg">
          <a:extLst>
            <a:ext uri="{FF2B5EF4-FFF2-40B4-BE49-F238E27FC236}">
              <a16:creationId xmlns:a16="http://schemas.microsoft.com/office/drawing/2014/main" id="{72EACEE3-7B7B-44BA-B1C0-B10269492E6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5815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115" name="AutoShape 4" descr="http://www.cristaleriasmartinez.com.mx/img/THUSLRCF0860.jpg">
          <a:extLst>
            <a:ext uri="{FF2B5EF4-FFF2-40B4-BE49-F238E27FC236}">
              <a16:creationId xmlns:a16="http://schemas.microsoft.com/office/drawing/2014/main" id="{423195B1-4C11-42A7-AFB2-6619EE4F3CB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5815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116" name="AutoShape 4" descr="http://www.cristaleriasmartinez.com.mx/img/THUSLRCF0860.jpg">
          <a:extLst>
            <a:ext uri="{FF2B5EF4-FFF2-40B4-BE49-F238E27FC236}">
              <a16:creationId xmlns:a16="http://schemas.microsoft.com/office/drawing/2014/main" id="{272AA877-3186-4CA2-AA13-4712DDB9297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5815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117" name="AutoShape 4" descr="http://www.cristaleriasmartinez.com.mx/img/THUSLRCF0860.jpg">
          <a:extLst>
            <a:ext uri="{FF2B5EF4-FFF2-40B4-BE49-F238E27FC236}">
              <a16:creationId xmlns:a16="http://schemas.microsoft.com/office/drawing/2014/main" id="{EB99A0F2-D88D-4294-89AD-BC973BA2AA9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5815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118" name="AutoShape 4" descr="http://www.cristaleriasmartinez.com.mx/img/THUSLRCF0860.jpg">
          <a:extLst>
            <a:ext uri="{FF2B5EF4-FFF2-40B4-BE49-F238E27FC236}">
              <a16:creationId xmlns:a16="http://schemas.microsoft.com/office/drawing/2014/main" id="{64D7DCA4-389E-4904-BB4A-6676AF2739C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5815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119" name="AutoShape 4" descr="http://www.cristaleriasmartinez.com.mx/img/THUSLRCF0860.jpg">
          <a:extLst>
            <a:ext uri="{FF2B5EF4-FFF2-40B4-BE49-F238E27FC236}">
              <a16:creationId xmlns:a16="http://schemas.microsoft.com/office/drawing/2014/main" id="{B3366285-A558-4E35-8EA5-3F9FD32F405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5815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120" name="AutoShape 4" descr="http://www.cristaleriasmartinez.com.mx/img/THUSLRCF0860.jpg">
          <a:extLst>
            <a:ext uri="{FF2B5EF4-FFF2-40B4-BE49-F238E27FC236}">
              <a16:creationId xmlns:a16="http://schemas.microsoft.com/office/drawing/2014/main" id="{A260F261-0ADB-42DA-AE1C-2D9A52B29FB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5815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121" name="AutoShape 4" descr="http://www.cristaleriasmartinez.com.mx/img/THUSLRCF0860.jpg">
          <a:extLst>
            <a:ext uri="{FF2B5EF4-FFF2-40B4-BE49-F238E27FC236}">
              <a16:creationId xmlns:a16="http://schemas.microsoft.com/office/drawing/2014/main" id="{3A451221-2FD2-4374-9A18-74233EF78E3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5815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122" name="AutoShape 4" descr="http://www.cristaleriasmartinez.com.mx/img/THUSLRCF0860.jpg">
          <a:extLst>
            <a:ext uri="{FF2B5EF4-FFF2-40B4-BE49-F238E27FC236}">
              <a16:creationId xmlns:a16="http://schemas.microsoft.com/office/drawing/2014/main" id="{39D71369-6050-4B9F-86DB-CEB7275F24A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5815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123" name="AutoShape 4" descr="http://www.cristaleriasmartinez.com.mx/img/THUSLRCF0860.jpg">
          <a:extLst>
            <a:ext uri="{FF2B5EF4-FFF2-40B4-BE49-F238E27FC236}">
              <a16:creationId xmlns:a16="http://schemas.microsoft.com/office/drawing/2014/main" id="{0B6F4A1F-57D6-4FC8-A38C-57A2BE57EFE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5815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124" name="AutoShape 4" descr="http://www.cristaleriasmartinez.com.mx/img/THUSLRCF0860.jpg">
          <a:extLst>
            <a:ext uri="{FF2B5EF4-FFF2-40B4-BE49-F238E27FC236}">
              <a16:creationId xmlns:a16="http://schemas.microsoft.com/office/drawing/2014/main" id="{B5D2088A-FC1B-47CF-8463-DB7222C43C0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5815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125" name="AutoShape 4" descr="http://www.cristaleriasmartinez.com.mx/img/THUSLRCF0860.jpg">
          <a:extLst>
            <a:ext uri="{FF2B5EF4-FFF2-40B4-BE49-F238E27FC236}">
              <a16:creationId xmlns:a16="http://schemas.microsoft.com/office/drawing/2014/main" id="{A2007C60-5BC1-449F-B47F-98E61B353B2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5815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126" name="AutoShape 4" descr="http://www.cristaleriasmartinez.com.mx/img/THUSLRCF0860.jpg">
          <a:extLst>
            <a:ext uri="{FF2B5EF4-FFF2-40B4-BE49-F238E27FC236}">
              <a16:creationId xmlns:a16="http://schemas.microsoft.com/office/drawing/2014/main" id="{9B3ED614-8E22-4F9F-A92A-BB09CAEF5EB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127" name="AutoShape 4" descr="http://www.cristaleriasmartinez.com.mx/img/THUSLRCF0860.jpg">
          <a:extLst>
            <a:ext uri="{FF2B5EF4-FFF2-40B4-BE49-F238E27FC236}">
              <a16:creationId xmlns:a16="http://schemas.microsoft.com/office/drawing/2014/main" id="{B592FC31-0893-4B7A-BBCB-BE3A5182EF8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128" name="AutoShape 4" descr="http://www.cristaleriasmartinez.com.mx/img/THUSLRCF0860.jpg">
          <a:extLst>
            <a:ext uri="{FF2B5EF4-FFF2-40B4-BE49-F238E27FC236}">
              <a16:creationId xmlns:a16="http://schemas.microsoft.com/office/drawing/2014/main" id="{8D7AA9CC-6922-4A45-8CB1-2124A0909F3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129" name="AutoShape 4" descr="http://www.cristaleriasmartinez.com.mx/img/THUSLRCF0860.jpg">
          <a:extLst>
            <a:ext uri="{FF2B5EF4-FFF2-40B4-BE49-F238E27FC236}">
              <a16:creationId xmlns:a16="http://schemas.microsoft.com/office/drawing/2014/main" id="{AEB26165-A4D8-4CE6-B5CF-3D61D4D358D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133" name="AutoShape 4" descr="http://www.cristaleriasmartinez.com.mx/img/THUSLRCF0860.jpg">
          <a:extLst>
            <a:ext uri="{FF2B5EF4-FFF2-40B4-BE49-F238E27FC236}">
              <a16:creationId xmlns:a16="http://schemas.microsoft.com/office/drawing/2014/main" id="{1657EBE5-D5DB-4D89-BC01-E77887E5F1B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134" name="AutoShape 4" descr="http://www.cristaleriasmartinez.com.mx/img/THUSLRCF0860.jpg">
          <a:extLst>
            <a:ext uri="{FF2B5EF4-FFF2-40B4-BE49-F238E27FC236}">
              <a16:creationId xmlns:a16="http://schemas.microsoft.com/office/drawing/2014/main" id="{BD1A6FE4-05B8-4CAF-81F0-D8F62882020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135" name="AutoShape 4" descr="http://www.cristaleriasmartinez.com.mx/img/THUSLRCF0860.jpg">
          <a:extLst>
            <a:ext uri="{FF2B5EF4-FFF2-40B4-BE49-F238E27FC236}">
              <a16:creationId xmlns:a16="http://schemas.microsoft.com/office/drawing/2014/main" id="{0E819155-D67F-4743-978C-91A71726DF9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136" name="AutoShape 4" descr="http://www.cristaleriasmartinez.com.mx/img/THUSLRCF0860.jpg">
          <a:extLst>
            <a:ext uri="{FF2B5EF4-FFF2-40B4-BE49-F238E27FC236}">
              <a16:creationId xmlns:a16="http://schemas.microsoft.com/office/drawing/2014/main" id="{B5D61594-B17B-4EF0-90B2-C3744E2A61E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137" name="AutoShape 4" descr="http://www.cristaleriasmartinez.com.mx/img/THUSLRCF0860.jpg">
          <a:extLst>
            <a:ext uri="{FF2B5EF4-FFF2-40B4-BE49-F238E27FC236}">
              <a16:creationId xmlns:a16="http://schemas.microsoft.com/office/drawing/2014/main" id="{4C154C24-1AC2-4903-B3A8-24A6B16744F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138" name="AutoShape 4" descr="http://www.cristaleriasmartinez.com.mx/img/THUSLRCF0860.jpg">
          <a:extLst>
            <a:ext uri="{FF2B5EF4-FFF2-40B4-BE49-F238E27FC236}">
              <a16:creationId xmlns:a16="http://schemas.microsoft.com/office/drawing/2014/main" id="{B56A6128-3FB8-4752-81FA-9B581FF2CFB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139" name="AutoShape 4" descr="http://www.cristaleriasmartinez.com.mx/img/THUSLRCF0860.jpg">
          <a:extLst>
            <a:ext uri="{FF2B5EF4-FFF2-40B4-BE49-F238E27FC236}">
              <a16:creationId xmlns:a16="http://schemas.microsoft.com/office/drawing/2014/main" id="{CA15BA2F-13CD-4F36-B803-6F061D3988B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140" name="AutoShape 4" descr="http://www.cristaleriasmartinez.com.mx/img/THUSLRCF0860.jpg">
          <a:extLst>
            <a:ext uri="{FF2B5EF4-FFF2-40B4-BE49-F238E27FC236}">
              <a16:creationId xmlns:a16="http://schemas.microsoft.com/office/drawing/2014/main" id="{E6D48D4B-C09F-427E-A5D4-E0F4382D0F7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141" name="AutoShape 4" descr="http://www.cristaleriasmartinez.com.mx/img/THUSLRCF0860.jpg">
          <a:extLst>
            <a:ext uri="{FF2B5EF4-FFF2-40B4-BE49-F238E27FC236}">
              <a16:creationId xmlns:a16="http://schemas.microsoft.com/office/drawing/2014/main" id="{3CCAF06C-4F30-4B8C-91D0-3BB8DDA676B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142" name="AutoShape 4" descr="http://www.cristaleriasmartinez.com.mx/img/THUSLRCF0860.jpg">
          <a:extLst>
            <a:ext uri="{FF2B5EF4-FFF2-40B4-BE49-F238E27FC236}">
              <a16:creationId xmlns:a16="http://schemas.microsoft.com/office/drawing/2014/main" id="{DF80DDDC-ED7E-4737-AC71-631DE6E8456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143" name="AutoShape 4" descr="http://www.cristaleriasmartinez.com.mx/img/THUSLRCF0860.jpg">
          <a:extLst>
            <a:ext uri="{FF2B5EF4-FFF2-40B4-BE49-F238E27FC236}">
              <a16:creationId xmlns:a16="http://schemas.microsoft.com/office/drawing/2014/main" id="{9723F8E5-A60E-4AB7-9CBE-3176107AC1B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144" name="AutoShape 4" descr="http://www.cristaleriasmartinez.com.mx/img/THUSLRCF0860.jpg">
          <a:extLst>
            <a:ext uri="{FF2B5EF4-FFF2-40B4-BE49-F238E27FC236}">
              <a16:creationId xmlns:a16="http://schemas.microsoft.com/office/drawing/2014/main" id="{8C9FDD71-FCBA-486E-817B-D574A854BF7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145" name="AutoShape 4" descr="http://www.cristaleriasmartinez.com.mx/img/THUSLRCF0860.jpg">
          <a:extLst>
            <a:ext uri="{FF2B5EF4-FFF2-40B4-BE49-F238E27FC236}">
              <a16:creationId xmlns:a16="http://schemas.microsoft.com/office/drawing/2014/main" id="{873993CE-5F1A-40E3-8223-3902AEF1329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146" name="AutoShape 4" descr="http://www.cristaleriasmartinez.com.mx/img/THUSLRCF0860.jpg">
          <a:extLst>
            <a:ext uri="{FF2B5EF4-FFF2-40B4-BE49-F238E27FC236}">
              <a16:creationId xmlns:a16="http://schemas.microsoft.com/office/drawing/2014/main" id="{5F4896F6-CE25-43F5-905B-EDCD6142798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147" name="AutoShape 4" descr="http://www.cristaleriasmartinez.com.mx/img/THUSLRCF0860.jpg">
          <a:extLst>
            <a:ext uri="{FF2B5EF4-FFF2-40B4-BE49-F238E27FC236}">
              <a16:creationId xmlns:a16="http://schemas.microsoft.com/office/drawing/2014/main" id="{7F3C339C-489C-43C0-A90F-6EE77E95AA4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150" name="AutoShape 4" descr="http://www.cristaleriasmartinez.com.mx/img/THUSLRCF0860.jpg">
          <a:extLst>
            <a:ext uri="{FF2B5EF4-FFF2-40B4-BE49-F238E27FC236}">
              <a16:creationId xmlns:a16="http://schemas.microsoft.com/office/drawing/2014/main" id="{FA92DEEF-1079-43BE-80C8-C3A18D3E0CB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151" name="AutoShape 4" descr="http://www.cristaleriasmartinez.com.mx/img/THUSLRCF0860.jpg">
          <a:extLst>
            <a:ext uri="{FF2B5EF4-FFF2-40B4-BE49-F238E27FC236}">
              <a16:creationId xmlns:a16="http://schemas.microsoft.com/office/drawing/2014/main" id="{0E798654-87AD-4B55-A517-3CCDABA165A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152" name="AutoShape 4" descr="http://www.cristaleriasmartinez.com.mx/img/THUSLRCF0860.jpg">
          <a:extLst>
            <a:ext uri="{FF2B5EF4-FFF2-40B4-BE49-F238E27FC236}">
              <a16:creationId xmlns:a16="http://schemas.microsoft.com/office/drawing/2014/main" id="{28A69EC6-B5B7-4B0C-B838-92143705A91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153" name="AutoShape 4" descr="http://www.cristaleriasmartinez.com.mx/img/THUSLRCF0860.jpg">
          <a:extLst>
            <a:ext uri="{FF2B5EF4-FFF2-40B4-BE49-F238E27FC236}">
              <a16:creationId xmlns:a16="http://schemas.microsoft.com/office/drawing/2014/main" id="{02BF8285-1C1C-4867-81E1-D18A38ECD01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154" name="AutoShape 4" descr="http://www.cristaleriasmartinez.com.mx/img/THUSLRCF0860.jpg">
          <a:extLst>
            <a:ext uri="{FF2B5EF4-FFF2-40B4-BE49-F238E27FC236}">
              <a16:creationId xmlns:a16="http://schemas.microsoft.com/office/drawing/2014/main" id="{02E3031A-C451-43B4-BEEA-73FFDD83511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155" name="AutoShape 4" descr="http://www.cristaleriasmartinez.com.mx/img/THUSLRCF0860.jpg">
          <a:extLst>
            <a:ext uri="{FF2B5EF4-FFF2-40B4-BE49-F238E27FC236}">
              <a16:creationId xmlns:a16="http://schemas.microsoft.com/office/drawing/2014/main" id="{E66F0001-F544-4D5A-BC0D-9EB8AF4DB89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156" name="AutoShape 4" descr="http://www.cristaleriasmartinez.com.mx/img/THUSLRCF0860.jpg">
          <a:extLst>
            <a:ext uri="{FF2B5EF4-FFF2-40B4-BE49-F238E27FC236}">
              <a16:creationId xmlns:a16="http://schemas.microsoft.com/office/drawing/2014/main" id="{698D1C3B-0B3E-416B-82A5-B539D9D5269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157" name="AutoShape 4" descr="http://www.cristaleriasmartinez.com.mx/img/THUSLRCF0860.jpg">
          <a:extLst>
            <a:ext uri="{FF2B5EF4-FFF2-40B4-BE49-F238E27FC236}">
              <a16:creationId xmlns:a16="http://schemas.microsoft.com/office/drawing/2014/main" id="{9F3B2060-C4C2-4E06-9A2C-371463DF84C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158" name="AutoShape 4" descr="http://www.cristaleriasmartinez.com.mx/img/THUSLRCF0860.jpg">
          <a:extLst>
            <a:ext uri="{FF2B5EF4-FFF2-40B4-BE49-F238E27FC236}">
              <a16:creationId xmlns:a16="http://schemas.microsoft.com/office/drawing/2014/main" id="{7266DB79-3BF6-4BF8-A6BB-61A842A55E0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159" name="AutoShape 4" descr="http://www.cristaleriasmartinez.com.mx/img/THUSLRCF0860.jpg">
          <a:extLst>
            <a:ext uri="{FF2B5EF4-FFF2-40B4-BE49-F238E27FC236}">
              <a16:creationId xmlns:a16="http://schemas.microsoft.com/office/drawing/2014/main" id="{78DB0E6B-9B6A-4230-BA35-636060C33ED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160" name="AutoShape 4" descr="http://www.cristaleriasmartinez.com.mx/img/THUSLRCF0860.jpg">
          <a:extLst>
            <a:ext uri="{FF2B5EF4-FFF2-40B4-BE49-F238E27FC236}">
              <a16:creationId xmlns:a16="http://schemas.microsoft.com/office/drawing/2014/main" id="{8894CC61-6623-4E3E-9F30-63F05E58B8A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161" name="AutoShape 4" descr="http://www.cristaleriasmartinez.com.mx/img/THUSLRCF0860.jpg">
          <a:extLst>
            <a:ext uri="{FF2B5EF4-FFF2-40B4-BE49-F238E27FC236}">
              <a16:creationId xmlns:a16="http://schemas.microsoft.com/office/drawing/2014/main" id="{E9FD8B61-9B06-4DB5-A27F-09874477259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162" name="AutoShape 4" descr="http://www.cristaleriasmartinez.com.mx/img/THUSLRCF0860.jpg">
          <a:extLst>
            <a:ext uri="{FF2B5EF4-FFF2-40B4-BE49-F238E27FC236}">
              <a16:creationId xmlns:a16="http://schemas.microsoft.com/office/drawing/2014/main" id="{8C273B98-77C7-40ED-AC4A-B0A3E3D7872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164" name="AutoShape 4" descr="http://www.cristaleriasmartinez.com.mx/img/THUSLRCF0860.jpg">
          <a:extLst>
            <a:ext uri="{FF2B5EF4-FFF2-40B4-BE49-F238E27FC236}">
              <a16:creationId xmlns:a16="http://schemas.microsoft.com/office/drawing/2014/main" id="{B75177DF-50F9-4225-AD19-8C421A39387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168" name="AutoShape 4" descr="http://www.cristaleriasmartinez.com.mx/img/THUSLRCF0860.jpg">
          <a:extLst>
            <a:ext uri="{FF2B5EF4-FFF2-40B4-BE49-F238E27FC236}">
              <a16:creationId xmlns:a16="http://schemas.microsoft.com/office/drawing/2014/main" id="{3430F1B3-37C9-4F5D-9DB9-7FC1D7D48A8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169" name="AutoShape 4" descr="http://www.cristaleriasmartinez.com.mx/img/THUSLRCF0860.jpg">
          <a:extLst>
            <a:ext uri="{FF2B5EF4-FFF2-40B4-BE49-F238E27FC236}">
              <a16:creationId xmlns:a16="http://schemas.microsoft.com/office/drawing/2014/main" id="{785177CC-49D6-40F6-AD15-B8C16A89106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170" name="AutoShape 4" descr="http://www.cristaleriasmartinez.com.mx/img/THUSLRCF0860.jpg">
          <a:extLst>
            <a:ext uri="{FF2B5EF4-FFF2-40B4-BE49-F238E27FC236}">
              <a16:creationId xmlns:a16="http://schemas.microsoft.com/office/drawing/2014/main" id="{BB269521-A890-4F79-9D3B-741265167A0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171" name="AutoShape 4" descr="http://www.cristaleriasmartinez.com.mx/img/THUSLRCF0860.jpg">
          <a:extLst>
            <a:ext uri="{FF2B5EF4-FFF2-40B4-BE49-F238E27FC236}">
              <a16:creationId xmlns:a16="http://schemas.microsoft.com/office/drawing/2014/main" id="{3CEFB0D3-E5AE-4EC1-A037-6208FC30012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172" name="AutoShape 4" descr="http://www.cristaleriasmartinez.com.mx/img/THUSLRCF0860.jpg">
          <a:extLst>
            <a:ext uri="{FF2B5EF4-FFF2-40B4-BE49-F238E27FC236}">
              <a16:creationId xmlns:a16="http://schemas.microsoft.com/office/drawing/2014/main" id="{318EBD04-238B-4285-8E79-66F7F7412FE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173" name="AutoShape 4" descr="http://www.cristaleriasmartinez.com.mx/img/THUSLRCF0860.jpg">
          <a:extLst>
            <a:ext uri="{FF2B5EF4-FFF2-40B4-BE49-F238E27FC236}">
              <a16:creationId xmlns:a16="http://schemas.microsoft.com/office/drawing/2014/main" id="{1A2F219A-2567-4530-B09B-BAF7F1F383A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174" name="AutoShape 4" descr="http://www.cristaleriasmartinez.com.mx/img/THUSLRCF0860.jpg">
          <a:extLst>
            <a:ext uri="{FF2B5EF4-FFF2-40B4-BE49-F238E27FC236}">
              <a16:creationId xmlns:a16="http://schemas.microsoft.com/office/drawing/2014/main" id="{ED50284E-1EE0-435E-BAB2-7C5ACB15E9E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175" name="AutoShape 4" descr="http://www.cristaleriasmartinez.com.mx/img/THUSLRCF0860.jpg">
          <a:extLst>
            <a:ext uri="{FF2B5EF4-FFF2-40B4-BE49-F238E27FC236}">
              <a16:creationId xmlns:a16="http://schemas.microsoft.com/office/drawing/2014/main" id="{CD93607A-9C23-4692-A355-70C849E3227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176" name="AutoShape 4" descr="http://www.cristaleriasmartinez.com.mx/img/THUSLRCF0860.jpg">
          <a:extLst>
            <a:ext uri="{FF2B5EF4-FFF2-40B4-BE49-F238E27FC236}">
              <a16:creationId xmlns:a16="http://schemas.microsoft.com/office/drawing/2014/main" id="{AF42E5AD-D87E-4ED6-813B-A8117445190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177" name="AutoShape 4" descr="http://www.cristaleriasmartinez.com.mx/img/THUSLRCF0860.jpg">
          <a:extLst>
            <a:ext uri="{FF2B5EF4-FFF2-40B4-BE49-F238E27FC236}">
              <a16:creationId xmlns:a16="http://schemas.microsoft.com/office/drawing/2014/main" id="{FB430742-0061-411F-8B5F-3DA89A10E5C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178" name="AutoShape 4" descr="http://www.cristaleriasmartinez.com.mx/img/THUSLRCF0860.jpg">
          <a:extLst>
            <a:ext uri="{FF2B5EF4-FFF2-40B4-BE49-F238E27FC236}">
              <a16:creationId xmlns:a16="http://schemas.microsoft.com/office/drawing/2014/main" id="{DE8A99CA-31F7-4AC8-A82A-90E897C1EEE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179" name="AutoShape 4" descr="http://www.cristaleriasmartinez.com.mx/img/THUSLRCF0860.jpg">
          <a:extLst>
            <a:ext uri="{FF2B5EF4-FFF2-40B4-BE49-F238E27FC236}">
              <a16:creationId xmlns:a16="http://schemas.microsoft.com/office/drawing/2014/main" id="{85AF16C1-24C7-4230-AD5B-50E5D6FE338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180" name="AutoShape 4" descr="http://www.cristaleriasmartinez.com.mx/img/THUSLRCF0860.jpg">
          <a:extLst>
            <a:ext uri="{FF2B5EF4-FFF2-40B4-BE49-F238E27FC236}">
              <a16:creationId xmlns:a16="http://schemas.microsoft.com/office/drawing/2014/main" id="{66D43C2E-1590-46AA-BE2E-0EB81F3F8B2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181" name="AutoShape 4" descr="http://www.cristaleriasmartinez.com.mx/img/THUSLRCF0860.jpg">
          <a:extLst>
            <a:ext uri="{FF2B5EF4-FFF2-40B4-BE49-F238E27FC236}">
              <a16:creationId xmlns:a16="http://schemas.microsoft.com/office/drawing/2014/main" id="{0B0E7F91-D52B-4490-860C-9B707B4D661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182" name="AutoShape 4" descr="http://www.cristaleriasmartinez.com.mx/img/THUSLRCF0860.jpg">
          <a:extLst>
            <a:ext uri="{FF2B5EF4-FFF2-40B4-BE49-F238E27FC236}">
              <a16:creationId xmlns:a16="http://schemas.microsoft.com/office/drawing/2014/main" id="{26AB0CFB-6C7A-47A6-85C1-A3409E0743D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187" name="AutoShape 4" descr="http://www.cristaleriasmartinez.com.mx/img/THUSLRCF0860.jpg">
          <a:extLst>
            <a:ext uri="{FF2B5EF4-FFF2-40B4-BE49-F238E27FC236}">
              <a16:creationId xmlns:a16="http://schemas.microsoft.com/office/drawing/2014/main" id="{26ED6D0C-FA7D-4782-BAB7-DBE39F12D59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188" name="AutoShape 4" descr="http://www.cristaleriasmartinez.com.mx/img/THUSLRCF0860.jpg">
          <a:extLst>
            <a:ext uri="{FF2B5EF4-FFF2-40B4-BE49-F238E27FC236}">
              <a16:creationId xmlns:a16="http://schemas.microsoft.com/office/drawing/2014/main" id="{E3285CD0-73F6-4C99-A5F0-0FE7E4AC254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189" name="AutoShape 4" descr="http://www.cristaleriasmartinez.com.mx/img/THUSLRCF0860.jpg">
          <a:extLst>
            <a:ext uri="{FF2B5EF4-FFF2-40B4-BE49-F238E27FC236}">
              <a16:creationId xmlns:a16="http://schemas.microsoft.com/office/drawing/2014/main" id="{3EDD919C-8672-4F72-8B0D-48EDD716071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190" name="AutoShape 4" descr="http://www.cristaleriasmartinez.com.mx/img/THUSLRCF0860.jpg">
          <a:extLst>
            <a:ext uri="{FF2B5EF4-FFF2-40B4-BE49-F238E27FC236}">
              <a16:creationId xmlns:a16="http://schemas.microsoft.com/office/drawing/2014/main" id="{E090C4F4-32D9-4A9A-9BB1-857B6A38D4A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191" name="AutoShape 4" descr="http://www.cristaleriasmartinez.com.mx/img/THUSLRCF0860.jpg">
          <a:extLst>
            <a:ext uri="{FF2B5EF4-FFF2-40B4-BE49-F238E27FC236}">
              <a16:creationId xmlns:a16="http://schemas.microsoft.com/office/drawing/2014/main" id="{B6C5EA78-8F0A-4737-9302-2EC439068FE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192" name="AutoShape 4" descr="http://www.cristaleriasmartinez.com.mx/img/THUSLRCF0860.jpg">
          <a:extLst>
            <a:ext uri="{FF2B5EF4-FFF2-40B4-BE49-F238E27FC236}">
              <a16:creationId xmlns:a16="http://schemas.microsoft.com/office/drawing/2014/main" id="{B1E83737-3FCA-45DA-89F1-6AE1BE37367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193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776FC-0A6B-4823-9755-786BC0C5F6D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194" name="AutoShape 4" descr="http://www.cristaleriasmartinez.com.mx/img/THUSLRCF0860.jpg">
          <a:extLst>
            <a:ext uri="{FF2B5EF4-FFF2-40B4-BE49-F238E27FC236}">
              <a16:creationId xmlns:a16="http://schemas.microsoft.com/office/drawing/2014/main" id="{91B218BB-B54D-4A71-912E-AB026C34A0F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195" name="AutoShape 4" descr="http://www.cristaleriasmartinez.com.mx/img/THUSLRCF0860.jpg">
          <a:extLst>
            <a:ext uri="{FF2B5EF4-FFF2-40B4-BE49-F238E27FC236}">
              <a16:creationId xmlns:a16="http://schemas.microsoft.com/office/drawing/2014/main" id="{5D77AC42-D650-4351-B275-6E2323EB4C4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196" name="AutoShape 4" descr="http://www.cristaleriasmartinez.com.mx/img/THUSLRCF0860.jpg">
          <a:extLst>
            <a:ext uri="{FF2B5EF4-FFF2-40B4-BE49-F238E27FC236}">
              <a16:creationId xmlns:a16="http://schemas.microsoft.com/office/drawing/2014/main" id="{C61A0C20-5AB6-40D9-AC2A-42EB0F1EBB4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197" name="AutoShape 4" descr="http://www.cristaleriasmartinez.com.mx/img/THUSLRCF0860.jpg">
          <a:extLst>
            <a:ext uri="{FF2B5EF4-FFF2-40B4-BE49-F238E27FC236}">
              <a16:creationId xmlns:a16="http://schemas.microsoft.com/office/drawing/2014/main" id="{BE8F78C3-B776-4A71-9179-06CA0ED2544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198" name="AutoShape 4" descr="http://www.cristaleriasmartinez.com.mx/img/THUSLRCF0860.jpg">
          <a:extLst>
            <a:ext uri="{FF2B5EF4-FFF2-40B4-BE49-F238E27FC236}">
              <a16:creationId xmlns:a16="http://schemas.microsoft.com/office/drawing/2014/main" id="{FAB6C94C-3C79-4F07-8D43-7018F9B8485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199" name="AutoShape 4" descr="http://www.cristaleriasmartinez.com.mx/img/THUSLRCF0860.jpg">
          <a:extLst>
            <a:ext uri="{FF2B5EF4-FFF2-40B4-BE49-F238E27FC236}">
              <a16:creationId xmlns:a16="http://schemas.microsoft.com/office/drawing/2014/main" id="{5ADF8A17-73F4-4EFC-AE70-AA9EC6D2498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200" name="AutoShape 4" descr="http://www.cristaleriasmartinez.com.mx/img/THUSLRCF0860.jpg">
          <a:extLst>
            <a:ext uri="{FF2B5EF4-FFF2-40B4-BE49-F238E27FC236}">
              <a16:creationId xmlns:a16="http://schemas.microsoft.com/office/drawing/2014/main" id="{083C6F47-731B-4FE1-AF2E-FCB8268EDBF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201" name="AutoShape 4" descr="http://www.cristaleriasmartinez.com.mx/img/THUSLRCF0860.jpg">
          <a:extLst>
            <a:ext uri="{FF2B5EF4-FFF2-40B4-BE49-F238E27FC236}">
              <a16:creationId xmlns:a16="http://schemas.microsoft.com/office/drawing/2014/main" id="{F9DC65FD-4704-4285-B7DD-B41CD71FEDD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202" name="AutoShape 4" descr="http://www.cristaleriasmartinez.com.mx/img/THUSLRCF0860.jpg">
          <a:extLst>
            <a:ext uri="{FF2B5EF4-FFF2-40B4-BE49-F238E27FC236}">
              <a16:creationId xmlns:a16="http://schemas.microsoft.com/office/drawing/2014/main" id="{28359FAA-626E-40AA-AAA1-30D7B31187D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204" name="AutoShape 4" descr="http://www.cristaleriasmartinez.com.mx/img/THUSLRCF0860.jpg">
          <a:extLst>
            <a:ext uri="{FF2B5EF4-FFF2-40B4-BE49-F238E27FC236}">
              <a16:creationId xmlns:a16="http://schemas.microsoft.com/office/drawing/2014/main" id="{D549A7C1-290E-4DFC-89BC-D17F488B963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912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205" name="AutoShape 4" descr="http://www.cristaleriasmartinez.com.mx/img/THUSLRCF0860.jpg">
          <a:extLst>
            <a:ext uri="{FF2B5EF4-FFF2-40B4-BE49-F238E27FC236}">
              <a16:creationId xmlns:a16="http://schemas.microsoft.com/office/drawing/2014/main" id="{1EE97A9A-6E47-4F5D-B68E-545AC3494F2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912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207" name="AutoShape 4" descr="http://www.cristaleriasmartinez.com.mx/img/THUSLRCF0860.jpg">
          <a:extLst>
            <a:ext uri="{FF2B5EF4-FFF2-40B4-BE49-F238E27FC236}">
              <a16:creationId xmlns:a16="http://schemas.microsoft.com/office/drawing/2014/main" id="{216F4B91-26E9-4823-93B7-956DB73DB27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912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208" name="AutoShape 4" descr="http://www.cristaleriasmartinez.com.mx/img/THUSLRCF0860.jpg">
          <a:extLst>
            <a:ext uri="{FF2B5EF4-FFF2-40B4-BE49-F238E27FC236}">
              <a16:creationId xmlns:a16="http://schemas.microsoft.com/office/drawing/2014/main" id="{8319AC09-3304-46B2-945B-A74A5E60581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912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209" name="AutoShape 4" descr="http://www.cristaleriasmartinez.com.mx/img/THUSLRCF0860.jpg">
          <a:extLst>
            <a:ext uri="{FF2B5EF4-FFF2-40B4-BE49-F238E27FC236}">
              <a16:creationId xmlns:a16="http://schemas.microsoft.com/office/drawing/2014/main" id="{F5BA8165-A13D-419E-BBD1-AEF08FBBB84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912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210" name="AutoShape 4" descr="http://www.cristaleriasmartinez.com.mx/img/THUSLRCF0860.jpg">
          <a:extLst>
            <a:ext uri="{FF2B5EF4-FFF2-40B4-BE49-F238E27FC236}">
              <a16:creationId xmlns:a16="http://schemas.microsoft.com/office/drawing/2014/main" id="{8BAA1257-FFBB-4833-85F4-3363ECCEFDB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912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211" name="AutoShape 4" descr="http://www.cristaleriasmartinez.com.mx/img/THUSLRCF0860.jpg">
          <a:extLst>
            <a:ext uri="{FF2B5EF4-FFF2-40B4-BE49-F238E27FC236}">
              <a16:creationId xmlns:a16="http://schemas.microsoft.com/office/drawing/2014/main" id="{15E5A8A7-BB0D-4BA9-BE42-E87B7DBDEC3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912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212" name="AutoShape 4" descr="http://www.cristaleriasmartinez.com.mx/img/THUSLRCF0860.jpg">
          <a:extLst>
            <a:ext uri="{FF2B5EF4-FFF2-40B4-BE49-F238E27FC236}">
              <a16:creationId xmlns:a16="http://schemas.microsoft.com/office/drawing/2014/main" id="{F817C199-1B6C-4CD1-B8F6-668CBE2C759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912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213" name="AutoShape 4" descr="http://www.cristaleriasmartinez.com.mx/img/THUSLRCF0860.jpg">
          <a:extLst>
            <a:ext uri="{FF2B5EF4-FFF2-40B4-BE49-F238E27FC236}">
              <a16:creationId xmlns:a16="http://schemas.microsoft.com/office/drawing/2014/main" id="{15D79139-EC7E-417F-A2FB-5B8EFCC50D9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912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214" name="AutoShape 4" descr="http://www.cristaleriasmartinez.com.mx/img/THUSLRCF0860.jpg">
          <a:extLst>
            <a:ext uri="{FF2B5EF4-FFF2-40B4-BE49-F238E27FC236}">
              <a16:creationId xmlns:a16="http://schemas.microsoft.com/office/drawing/2014/main" id="{C66BB899-1B6F-4717-8535-C030F3C2279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912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215" name="AutoShape 4" descr="http://www.cristaleriasmartinez.com.mx/img/THUSLRCF0860.jpg">
          <a:extLst>
            <a:ext uri="{FF2B5EF4-FFF2-40B4-BE49-F238E27FC236}">
              <a16:creationId xmlns:a16="http://schemas.microsoft.com/office/drawing/2014/main" id="{0C44FDCC-51E2-4895-9151-0DEBF58D699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912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216" name="AutoShape 4" descr="http://www.cristaleriasmartinez.com.mx/img/THUSLRCF0860.jpg">
          <a:extLst>
            <a:ext uri="{FF2B5EF4-FFF2-40B4-BE49-F238E27FC236}">
              <a16:creationId xmlns:a16="http://schemas.microsoft.com/office/drawing/2014/main" id="{08B8F5C0-CE61-45EB-9E58-9E9E4050001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912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217" name="AutoShape 4" descr="http://www.cristaleriasmartinez.com.mx/img/THUSLRCF0860.jpg">
          <a:extLst>
            <a:ext uri="{FF2B5EF4-FFF2-40B4-BE49-F238E27FC236}">
              <a16:creationId xmlns:a16="http://schemas.microsoft.com/office/drawing/2014/main" id="{02FC92F9-F9B8-4102-9A2A-B2B7DDACFDC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912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218" name="AutoShape 4" descr="http://www.cristaleriasmartinez.com.mx/img/THUSLRCF0860.jpg">
          <a:extLst>
            <a:ext uri="{FF2B5EF4-FFF2-40B4-BE49-F238E27FC236}">
              <a16:creationId xmlns:a16="http://schemas.microsoft.com/office/drawing/2014/main" id="{50CAD03B-2792-44E9-8F89-1015CEB397F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912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219" name="AutoShape 4" descr="http://www.cristaleriasmartinez.com.mx/img/THUSLRCF0860.jpg">
          <a:extLst>
            <a:ext uri="{FF2B5EF4-FFF2-40B4-BE49-F238E27FC236}">
              <a16:creationId xmlns:a16="http://schemas.microsoft.com/office/drawing/2014/main" id="{E7C6CFBB-E93E-450B-AB34-DC6E9043132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912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220" name="AutoShape 4" descr="http://www.cristaleriasmartinez.com.mx/img/THUSLRCF0860.jpg">
          <a:extLst>
            <a:ext uri="{FF2B5EF4-FFF2-40B4-BE49-F238E27FC236}">
              <a16:creationId xmlns:a16="http://schemas.microsoft.com/office/drawing/2014/main" id="{2095AD69-210B-4DEB-8C37-B4FA878A105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912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206" name="7 Imagen" descr="FTT-250D.JPG">
          <a:extLst>
            <a:ext uri="{FF2B5EF4-FFF2-40B4-BE49-F238E27FC236}">
              <a16:creationId xmlns:a16="http://schemas.microsoft.com/office/drawing/2014/main" id="{0E4EB41C-841B-4173-890A-10219F424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223" name="8 Imagen" descr="FTT-250I.JPG">
          <a:extLst>
            <a:ext uri="{FF2B5EF4-FFF2-40B4-BE49-F238E27FC236}">
              <a16:creationId xmlns:a16="http://schemas.microsoft.com/office/drawing/2014/main" id="{9A0B5874-4EDD-452C-BEEB-08E8C53EF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224" name="7 Imagen" descr="FTT-250D.JPG">
          <a:extLst>
            <a:ext uri="{FF2B5EF4-FFF2-40B4-BE49-F238E27FC236}">
              <a16:creationId xmlns:a16="http://schemas.microsoft.com/office/drawing/2014/main" id="{AE9D7C2F-9F08-480D-AD35-836156BF9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225" name="8 Imagen" descr="FTT-250I.JPG">
          <a:extLst>
            <a:ext uri="{FF2B5EF4-FFF2-40B4-BE49-F238E27FC236}">
              <a16:creationId xmlns:a16="http://schemas.microsoft.com/office/drawing/2014/main" id="{E00BA4FD-61CC-46F3-8CF1-6DB12DBD3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226" name="AutoShape 4" descr="http://www.cristaleriasmartinez.com.mx/img/THUSLRCF0860.jpg">
          <a:extLst>
            <a:ext uri="{FF2B5EF4-FFF2-40B4-BE49-F238E27FC236}">
              <a16:creationId xmlns:a16="http://schemas.microsoft.com/office/drawing/2014/main" id="{E6DAB9E3-AD04-40BE-B392-493F44962F7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227" name="AutoShape 4" descr="http://www.cristaleriasmartinez.com.mx/img/THUSLRCF0860.jpg">
          <a:extLst>
            <a:ext uri="{FF2B5EF4-FFF2-40B4-BE49-F238E27FC236}">
              <a16:creationId xmlns:a16="http://schemas.microsoft.com/office/drawing/2014/main" id="{EECAB39B-9373-4B7B-B96E-DAA6F08BCB1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228" name="7 Imagen" descr="FTT-250D.JPG">
          <a:extLst>
            <a:ext uri="{FF2B5EF4-FFF2-40B4-BE49-F238E27FC236}">
              <a16:creationId xmlns:a16="http://schemas.microsoft.com/office/drawing/2014/main" id="{DBDC2B94-ADC6-4E9A-B658-3993BF6A4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229" name="8 Imagen" descr="FTT-250I.JPG">
          <a:extLst>
            <a:ext uri="{FF2B5EF4-FFF2-40B4-BE49-F238E27FC236}">
              <a16:creationId xmlns:a16="http://schemas.microsoft.com/office/drawing/2014/main" id="{CAD35A86-43DE-4E7D-8507-2809B54D9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230" name="7 Imagen" descr="FTT-250D.JPG">
          <a:extLst>
            <a:ext uri="{FF2B5EF4-FFF2-40B4-BE49-F238E27FC236}">
              <a16:creationId xmlns:a16="http://schemas.microsoft.com/office/drawing/2014/main" id="{454B9D49-238A-47F7-BB45-251A71145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231" name="8 Imagen" descr="FTT-250I.JPG">
          <a:extLst>
            <a:ext uri="{FF2B5EF4-FFF2-40B4-BE49-F238E27FC236}">
              <a16:creationId xmlns:a16="http://schemas.microsoft.com/office/drawing/2014/main" id="{73731AC1-F6FF-4576-9C88-AEC80E6A1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232" name="AutoShape 4" descr="http://www.cristaleriasmartinez.com.mx/img/THUSLRCF0860.jpg">
          <a:extLst>
            <a:ext uri="{FF2B5EF4-FFF2-40B4-BE49-F238E27FC236}">
              <a16:creationId xmlns:a16="http://schemas.microsoft.com/office/drawing/2014/main" id="{EA81B5CE-7693-4BE1-BD14-B5A3F61F991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233" name="AutoShape 4" descr="http://www.cristaleriasmartinez.com.mx/img/THUSLRCF0860.jpg">
          <a:extLst>
            <a:ext uri="{FF2B5EF4-FFF2-40B4-BE49-F238E27FC236}">
              <a16:creationId xmlns:a16="http://schemas.microsoft.com/office/drawing/2014/main" id="{398FEE73-FFA2-45EA-BD97-B2FEDB16D14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234" name="7 Imagen" descr="FTT-250D.JPG">
          <a:extLst>
            <a:ext uri="{FF2B5EF4-FFF2-40B4-BE49-F238E27FC236}">
              <a16:creationId xmlns:a16="http://schemas.microsoft.com/office/drawing/2014/main" id="{E93701C1-30ED-45F2-B0AB-F1C6134FA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235" name="8 Imagen" descr="FTT-250I.JPG">
          <a:extLst>
            <a:ext uri="{FF2B5EF4-FFF2-40B4-BE49-F238E27FC236}">
              <a16:creationId xmlns:a16="http://schemas.microsoft.com/office/drawing/2014/main" id="{C0F59930-FD0E-4D31-98C9-8DE4C5CB7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236" name="7 Imagen" descr="FTT-250D.JPG">
          <a:extLst>
            <a:ext uri="{FF2B5EF4-FFF2-40B4-BE49-F238E27FC236}">
              <a16:creationId xmlns:a16="http://schemas.microsoft.com/office/drawing/2014/main" id="{E1219D1D-1F0C-4FA4-A023-86A0B28E4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237" name="8 Imagen" descr="FTT-250I.JPG">
          <a:extLst>
            <a:ext uri="{FF2B5EF4-FFF2-40B4-BE49-F238E27FC236}">
              <a16:creationId xmlns:a16="http://schemas.microsoft.com/office/drawing/2014/main" id="{A2249917-975F-4B69-972E-D05A14AEC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238" name="AutoShape 4" descr="http://www.cristaleriasmartinez.com.mx/img/THUSLRCF0860.jpg">
          <a:extLst>
            <a:ext uri="{FF2B5EF4-FFF2-40B4-BE49-F238E27FC236}">
              <a16:creationId xmlns:a16="http://schemas.microsoft.com/office/drawing/2014/main" id="{3D6F1D7A-AE7B-4D9A-BC04-1025CBF87B4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239" name="AutoShape 4" descr="http://www.cristaleriasmartinez.com.mx/img/THUSLRCF0860.jpg">
          <a:extLst>
            <a:ext uri="{FF2B5EF4-FFF2-40B4-BE49-F238E27FC236}">
              <a16:creationId xmlns:a16="http://schemas.microsoft.com/office/drawing/2014/main" id="{5F300394-C3B1-4ACC-B0F4-E7157505CB4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240" name="7 Imagen" descr="FTT-250D.JPG">
          <a:extLst>
            <a:ext uri="{FF2B5EF4-FFF2-40B4-BE49-F238E27FC236}">
              <a16:creationId xmlns:a16="http://schemas.microsoft.com/office/drawing/2014/main" id="{916E383D-AE52-434A-AEEA-8377C17E2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241" name="8 Imagen" descr="FTT-250I.JPG">
          <a:extLst>
            <a:ext uri="{FF2B5EF4-FFF2-40B4-BE49-F238E27FC236}">
              <a16:creationId xmlns:a16="http://schemas.microsoft.com/office/drawing/2014/main" id="{BF36C1AA-0BD4-437A-8D55-B0216D87E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242" name="7 Imagen" descr="FTT-250D.JPG">
          <a:extLst>
            <a:ext uri="{FF2B5EF4-FFF2-40B4-BE49-F238E27FC236}">
              <a16:creationId xmlns:a16="http://schemas.microsoft.com/office/drawing/2014/main" id="{35E33450-DB61-4E0E-8B26-3A0BEC997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243" name="8 Imagen" descr="FTT-250I.JPG">
          <a:extLst>
            <a:ext uri="{FF2B5EF4-FFF2-40B4-BE49-F238E27FC236}">
              <a16:creationId xmlns:a16="http://schemas.microsoft.com/office/drawing/2014/main" id="{FCCB5AD6-4E34-4688-91AD-C0C8C7B86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244" name="AutoShape 4" descr="http://www.cristaleriasmartinez.com.mx/img/THUSLRCF0860.jpg">
          <a:extLst>
            <a:ext uri="{FF2B5EF4-FFF2-40B4-BE49-F238E27FC236}">
              <a16:creationId xmlns:a16="http://schemas.microsoft.com/office/drawing/2014/main" id="{9563F681-F35D-4246-8598-B2AED320292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245" name="AutoShape 4" descr="http://www.cristaleriasmartinez.com.mx/img/THUSLRCF0860.jpg">
          <a:extLst>
            <a:ext uri="{FF2B5EF4-FFF2-40B4-BE49-F238E27FC236}">
              <a16:creationId xmlns:a16="http://schemas.microsoft.com/office/drawing/2014/main" id="{2E4ADC14-93D8-46FF-A02E-A0E95FBC012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246" name="7 Imagen" descr="FTT-250D.JPG">
          <a:extLst>
            <a:ext uri="{FF2B5EF4-FFF2-40B4-BE49-F238E27FC236}">
              <a16:creationId xmlns:a16="http://schemas.microsoft.com/office/drawing/2014/main" id="{403A0BA8-9220-41C3-98A0-70179AB2F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247" name="8 Imagen" descr="FTT-250I.JPG">
          <a:extLst>
            <a:ext uri="{FF2B5EF4-FFF2-40B4-BE49-F238E27FC236}">
              <a16:creationId xmlns:a16="http://schemas.microsoft.com/office/drawing/2014/main" id="{D0517D99-EC8E-47D3-874B-15BA4506D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248" name="7 Imagen" descr="FTT-250D.JPG">
          <a:extLst>
            <a:ext uri="{FF2B5EF4-FFF2-40B4-BE49-F238E27FC236}">
              <a16:creationId xmlns:a16="http://schemas.microsoft.com/office/drawing/2014/main" id="{C9EAA748-3B4B-47F1-8AE3-F66A6ADC5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249" name="8 Imagen" descr="FTT-250I.JPG">
          <a:extLst>
            <a:ext uri="{FF2B5EF4-FFF2-40B4-BE49-F238E27FC236}">
              <a16:creationId xmlns:a16="http://schemas.microsoft.com/office/drawing/2014/main" id="{EBE7BC00-930C-4460-92BF-54F714B81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250" name="AutoShape 4" descr="http://www.cristaleriasmartinez.com.mx/img/THUSLRCF0860.jpg">
          <a:extLst>
            <a:ext uri="{FF2B5EF4-FFF2-40B4-BE49-F238E27FC236}">
              <a16:creationId xmlns:a16="http://schemas.microsoft.com/office/drawing/2014/main" id="{E98DD90A-166C-4254-A268-0DEB6BB1DF9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251" name="AutoShape 4" descr="http://www.cristaleriasmartinez.com.mx/img/THUSLRCF0860.jpg">
          <a:extLst>
            <a:ext uri="{FF2B5EF4-FFF2-40B4-BE49-F238E27FC236}">
              <a16:creationId xmlns:a16="http://schemas.microsoft.com/office/drawing/2014/main" id="{7C3B1E4D-9424-4E83-BF8A-507EE3C3662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252" name="7 Imagen" descr="FTT-250D.JPG">
          <a:extLst>
            <a:ext uri="{FF2B5EF4-FFF2-40B4-BE49-F238E27FC236}">
              <a16:creationId xmlns:a16="http://schemas.microsoft.com/office/drawing/2014/main" id="{096445E2-28E7-4AAB-A16C-48FC1FBC2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253" name="8 Imagen" descr="FTT-250I.JPG">
          <a:extLst>
            <a:ext uri="{FF2B5EF4-FFF2-40B4-BE49-F238E27FC236}">
              <a16:creationId xmlns:a16="http://schemas.microsoft.com/office/drawing/2014/main" id="{650AB4F7-683E-48F6-8DDD-5352BD0A7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254" name="7 Imagen" descr="FTT-250D.JPG">
          <a:extLst>
            <a:ext uri="{FF2B5EF4-FFF2-40B4-BE49-F238E27FC236}">
              <a16:creationId xmlns:a16="http://schemas.microsoft.com/office/drawing/2014/main" id="{1B1CFFA4-4926-496B-9FEA-562975E8C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255" name="8 Imagen" descr="FTT-250I.JPG">
          <a:extLst>
            <a:ext uri="{FF2B5EF4-FFF2-40B4-BE49-F238E27FC236}">
              <a16:creationId xmlns:a16="http://schemas.microsoft.com/office/drawing/2014/main" id="{F0E29E44-AFF7-4482-B35A-160B80FEB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256" name="AutoShape 4" descr="http://www.cristaleriasmartinez.com.mx/img/THUSLRCF0860.jpg">
          <a:extLst>
            <a:ext uri="{FF2B5EF4-FFF2-40B4-BE49-F238E27FC236}">
              <a16:creationId xmlns:a16="http://schemas.microsoft.com/office/drawing/2014/main" id="{7F4328DA-FBD5-409C-96DD-02EB2F42BA5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257" name="AutoShape 4" descr="http://www.cristaleriasmartinez.com.mx/img/THUSLRCF0860.jpg">
          <a:extLst>
            <a:ext uri="{FF2B5EF4-FFF2-40B4-BE49-F238E27FC236}">
              <a16:creationId xmlns:a16="http://schemas.microsoft.com/office/drawing/2014/main" id="{8AE3337E-C459-414D-AE05-BF8C8D66DBE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258" name="7 Imagen" descr="FTT-250D.JPG">
          <a:extLst>
            <a:ext uri="{FF2B5EF4-FFF2-40B4-BE49-F238E27FC236}">
              <a16:creationId xmlns:a16="http://schemas.microsoft.com/office/drawing/2014/main" id="{7836DBF7-91C3-4A94-960B-79AB73711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259" name="8 Imagen" descr="FTT-250I.JPG">
          <a:extLst>
            <a:ext uri="{FF2B5EF4-FFF2-40B4-BE49-F238E27FC236}">
              <a16:creationId xmlns:a16="http://schemas.microsoft.com/office/drawing/2014/main" id="{FD25978F-3DD1-431C-95EA-BDC595F8E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260" name="7 Imagen" descr="FTT-250D.JPG">
          <a:extLst>
            <a:ext uri="{FF2B5EF4-FFF2-40B4-BE49-F238E27FC236}">
              <a16:creationId xmlns:a16="http://schemas.microsoft.com/office/drawing/2014/main" id="{7772B087-A421-485C-8EE9-33E4B51F7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261" name="8 Imagen" descr="FTT-250I.JPG">
          <a:extLst>
            <a:ext uri="{FF2B5EF4-FFF2-40B4-BE49-F238E27FC236}">
              <a16:creationId xmlns:a16="http://schemas.microsoft.com/office/drawing/2014/main" id="{790F4FF0-D21E-44E2-B4B4-A010000E1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262" name="AutoShape 4" descr="http://www.cristaleriasmartinez.com.mx/img/THUSLRCF0860.jpg">
          <a:extLst>
            <a:ext uri="{FF2B5EF4-FFF2-40B4-BE49-F238E27FC236}">
              <a16:creationId xmlns:a16="http://schemas.microsoft.com/office/drawing/2014/main" id="{995F1D93-D02A-43F6-91C2-DDD2473E0FD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263" name="AutoShape 4" descr="http://www.cristaleriasmartinez.com.mx/img/THUSLRCF0860.jpg">
          <a:extLst>
            <a:ext uri="{FF2B5EF4-FFF2-40B4-BE49-F238E27FC236}">
              <a16:creationId xmlns:a16="http://schemas.microsoft.com/office/drawing/2014/main" id="{FDB7BFB0-A0F5-43B7-8943-15E8007FDC8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264" name="7 Imagen" descr="FTT-250D.JPG">
          <a:extLst>
            <a:ext uri="{FF2B5EF4-FFF2-40B4-BE49-F238E27FC236}">
              <a16:creationId xmlns:a16="http://schemas.microsoft.com/office/drawing/2014/main" id="{C46BF3C5-B99C-4C3C-A966-03DF421E0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265" name="8 Imagen" descr="FTT-250I.JPG">
          <a:extLst>
            <a:ext uri="{FF2B5EF4-FFF2-40B4-BE49-F238E27FC236}">
              <a16:creationId xmlns:a16="http://schemas.microsoft.com/office/drawing/2014/main" id="{A51AAA9A-C211-4B3B-8B31-FED4D8C6E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266" name="7 Imagen" descr="FTT-250D.JPG">
          <a:extLst>
            <a:ext uri="{FF2B5EF4-FFF2-40B4-BE49-F238E27FC236}">
              <a16:creationId xmlns:a16="http://schemas.microsoft.com/office/drawing/2014/main" id="{6E8C5E18-133A-4E5D-8332-E2E96FA9A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267" name="8 Imagen" descr="FTT-250I.JPG">
          <a:extLst>
            <a:ext uri="{FF2B5EF4-FFF2-40B4-BE49-F238E27FC236}">
              <a16:creationId xmlns:a16="http://schemas.microsoft.com/office/drawing/2014/main" id="{31E3CF46-79E8-442E-91D3-FE896385D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268" name="AutoShape 4" descr="http://www.cristaleriasmartinez.com.mx/img/THUSLRCF0860.jpg">
          <a:extLst>
            <a:ext uri="{FF2B5EF4-FFF2-40B4-BE49-F238E27FC236}">
              <a16:creationId xmlns:a16="http://schemas.microsoft.com/office/drawing/2014/main" id="{63B10788-7B59-491D-B344-3584650B1D8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269" name="AutoShape 4" descr="http://www.cristaleriasmartinez.com.mx/img/THUSLRCF0860.jpg">
          <a:extLst>
            <a:ext uri="{FF2B5EF4-FFF2-40B4-BE49-F238E27FC236}">
              <a16:creationId xmlns:a16="http://schemas.microsoft.com/office/drawing/2014/main" id="{A1896A95-E408-454A-889B-AB14763B798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270" name="AutoShape 4" descr="http://www.cristaleriasmartinez.com.mx/img/THUSLRCF0860.jpg">
          <a:extLst>
            <a:ext uri="{FF2B5EF4-FFF2-40B4-BE49-F238E27FC236}">
              <a16:creationId xmlns:a16="http://schemas.microsoft.com/office/drawing/2014/main" id="{E8A0CD53-5AB7-48E6-AF0F-BF7C0F2E9B4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271" name="AutoShape 4" descr="http://www.cristaleriasmartinez.com.mx/img/THUSLRCF0860.jpg">
          <a:extLst>
            <a:ext uri="{FF2B5EF4-FFF2-40B4-BE49-F238E27FC236}">
              <a16:creationId xmlns:a16="http://schemas.microsoft.com/office/drawing/2014/main" id="{10EF37BB-5D0A-4418-A18A-2D94A78255D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272" name="AutoShape 4" descr="http://www.cristaleriasmartinez.com.mx/img/THUSLRCF0860.jpg">
          <a:extLst>
            <a:ext uri="{FF2B5EF4-FFF2-40B4-BE49-F238E27FC236}">
              <a16:creationId xmlns:a16="http://schemas.microsoft.com/office/drawing/2014/main" id="{0E412127-2B68-4B49-A0E9-689CBA5AC3A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273" name="AutoShape 4" descr="http://www.cristaleriasmartinez.com.mx/img/THUSLRCF0860.jpg">
          <a:extLst>
            <a:ext uri="{FF2B5EF4-FFF2-40B4-BE49-F238E27FC236}">
              <a16:creationId xmlns:a16="http://schemas.microsoft.com/office/drawing/2014/main" id="{E3AB86C3-4E49-42D2-ABAE-D373EC15A27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274" name="AutoShape 4" descr="http://www.cristaleriasmartinez.com.mx/img/THUSLRCF0860.jpg">
          <a:extLst>
            <a:ext uri="{FF2B5EF4-FFF2-40B4-BE49-F238E27FC236}">
              <a16:creationId xmlns:a16="http://schemas.microsoft.com/office/drawing/2014/main" id="{BA41C852-8D8C-4D31-9403-77BDCA466FF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275" name="AutoShape 4" descr="http://www.cristaleriasmartinez.com.mx/img/THUSLRCF0860.jpg">
          <a:extLst>
            <a:ext uri="{FF2B5EF4-FFF2-40B4-BE49-F238E27FC236}">
              <a16:creationId xmlns:a16="http://schemas.microsoft.com/office/drawing/2014/main" id="{2FB7A4FE-7DC6-49BE-8F7A-1416BC14E4E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276" name="AutoShape 4" descr="http://www.cristaleriasmartinez.com.mx/img/THUSLRCF0860.jpg">
          <a:extLst>
            <a:ext uri="{FF2B5EF4-FFF2-40B4-BE49-F238E27FC236}">
              <a16:creationId xmlns:a16="http://schemas.microsoft.com/office/drawing/2014/main" id="{883316C1-A4BB-482F-B9A6-5FEDE93B3A7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277" name="AutoShape 4" descr="http://www.cristaleriasmartinez.com.mx/img/THUSLRCF0860.jpg">
          <a:extLst>
            <a:ext uri="{FF2B5EF4-FFF2-40B4-BE49-F238E27FC236}">
              <a16:creationId xmlns:a16="http://schemas.microsoft.com/office/drawing/2014/main" id="{E190123E-7F81-4F18-843A-416D568C5FB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278" name="AutoShape 4" descr="http://www.cristaleriasmartinez.com.mx/img/THUSLRCF0860.jpg">
          <a:extLst>
            <a:ext uri="{FF2B5EF4-FFF2-40B4-BE49-F238E27FC236}">
              <a16:creationId xmlns:a16="http://schemas.microsoft.com/office/drawing/2014/main" id="{87EF780A-70D1-4108-B01A-BFEDCC2B048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279" name="AutoShape 4" descr="http://www.cristaleriasmartinez.com.mx/img/THUSLRCF0860.jpg">
          <a:extLst>
            <a:ext uri="{FF2B5EF4-FFF2-40B4-BE49-F238E27FC236}">
              <a16:creationId xmlns:a16="http://schemas.microsoft.com/office/drawing/2014/main" id="{0CBDB7D8-BB6E-4923-8BB2-EB2834F2448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280" name="AutoShape 4" descr="http://www.cristaleriasmartinez.com.mx/img/THUSLRCF0860.jpg">
          <a:extLst>
            <a:ext uri="{FF2B5EF4-FFF2-40B4-BE49-F238E27FC236}">
              <a16:creationId xmlns:a16="http://schemas.microsoft.com/office/drawing/2014/main" id="{67B4D1FD-D4FC-4211-A864-B73C3EBB0E7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281" name="AutoShape 4" descr="http://www.cristaleriasmartinez.com.mx/img/THUSLRCF0860.jpg">
          <a:extLst>
            <a:ext uri="{FF2B5EF4-FFF2-40B4-BE49-F238E27FC236}">
              <a16:creationId xmlns:a16="http://schemas.microsoft.com/office/drawing/2014/main" id="{9381E146-1E7F-4685-992C-8BC13D09C18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282" name="AutoShape 4" descr="http://www.cristaleriasmartinez.com.mx/img/THUSLRCF0860.jpg">
          <a:extLst>
            <a:ext uri="{FF2B5EF4-FFF2-40B4-BE49-F238E27FC236}">
              <a16:creationId xmlns:a16="http://schemas.microsoft.com/office/drawing/2014/main" id="{CEB385CC-9BED-4396-887B-824B17F69A4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283" name="AutoShape 4" descr="http://www.cristaleriasmartinez.com.mx/img/THUSLRCF0860.jpg">
          <a:extLst>
            <a:ext uri="{FF2B5EF4-FFF2-40B4-BE49-F238E27FC236}">
              <a16:creationId xmlns:a16="http://schemas.microsoft.com/office/drawing/2014/main" id="{8161A857-34C9-4F15-929A-A144AEE0981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284" name="AutoShape 4" descr="http://www.cristaleriasmartinez.com.mx/img/THUSLRCF0860.jpg">
          <a:extLst>
            <a:ext uri="{FF2B5EF4-FFF2-40B4-BE49-F238E27FC236}">
              <a16:creationId xmlns:a16="http://schemas.microsoft.com/office/drawing/2014/main" id="{85A061CA-12FF-40AE-8486-D324509A793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285" name="AutoShape 4" descr="http://www.cristaleriasmartinez.com.mx/img/THUSLRCF0860.jpg">
          <a:extLst>
            <a:ext uri="{FF2B5EF4-FFF2-40B4-BE49-F238E27FC236}">
              <a16:creationId xmlns:a16="http://schemas.microsoft.com/office/drawing/2014/main" id="{5680675B-A72A-4B6D-986E-7DE7704015F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288" name="AutoShape 4" descr="http://www.cristaleriasmartinez.com.mx/img/THUSLRCF0860.jpg">
          <a:extLst>
            <a:ext uri="{FF2B5EF4-FFF2-40B4-BE49-F238E27FC236}">
              <a16:creationId xmlns:a16="http://schemas.microsoft.com/office/drawing/2014/main" id="{505E7E5E-E0BA-414C-8289-7D38ACF0462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289" name="AutoShape 4" descr="http://www.cristaleriasmartinez.com.mx/img/THUSLRCF0860.jpg">
          <a:extLst>
            <a:ext uri="{FF2B5EF4-FFF2-40B4-BE49-F238E27FC236}">
              <a16:creationId xmlns:a16="http://schemas.microsoft.com/office/drawing/2014/main" id="{72356D91-53AD-42DE-8562-C4CB21E320A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290" name="AutoShape 4" descr="http://www.cristaleriasmartinez.com.mx/img/THUSLRCF0860.jpg">
          <a:extLst>
            <a:ext uri="{FF2B5EF4-FFF2-40B4-BE49-F238E27FC236}">
              <a16:creationId xmlns:a16="http://schemas.microsoft.com/office/drawing/2014/main" id="{0E0C5CE8-A023-488D-91C5-AD9FE946E59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291" name="AutoShape 4" descr="http://www.cristaleriasmartinez.com.mx/img/THUSLRCF0860.jpg">
          <a:extLst>
            <a:ext uri="{FF2B5EF4-FFF2-40B4-BE49-F238E27FC236}">
              <a16:creationId xmlns:a16="http://schemas.microsoft.com/office/drawing/2014/main" id="{BB5D21E2-B880-4E40-BE59-B3F9BC0C63B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292" name="AutoShape 4" descr="http://www.cristaleriasmartinez.com.mx/img/THUSLRCF0860.jpg">
          <a:extLst>
            <a:ext uri="{FF2B5EF4-FFF2-40B4-BE49-F238E27FC236}">
              <a16:creationId xmlns:a16="http://schemas.microsoft.com/office/drawing/2014/main" id="{21D6E021-4B49-4A28-B1F2-28B5FD4D2B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293" name="AutoShape 4" descr="http://www.cristaleriasmartinez.com.mx/img/THUSLRCF0860.jpg">
          <a:extLst>
            <a:ext uri="{FF2B5EF4-FFF2-40B4-BE49-F238E27FC236}">
              <a16:creationId xmlns:a16="http://schemas.microsoft.com/office/drawing/2014/main" id="{B87C8DBE-7CAE-4228-BB84-DE34F4E33CA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294" name="AutoShape 4" descr="http://www.cristaleriasmartinez.com.mx/img/THUSLRCF0860.jpg">
          <a:extLst>
            <a:ext uri="{FF2B5EF4-FFF2-40B4-BE49-F238E27FC236}">
              <a16:creationId xmlns:a16="http://schemas.microsoft.com/office/drawing/2014/main" id="{3874003A-FB4E-4566-B63F-57552EBEC45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295" name="AutoShape 4" descr="http://www.cristaleriasmartinez.com.mx/img/THUSLRCF0860.jpg">
          <a:extLst>
            <a:ext uri="{FF2B5EF4-FFF2-40B4-BE49-F238E27FC236}">
              <a16:creationId xmlns:a16="http://schemas.microsoft.com/office/drawing/2014/main" id="{76A002FF-8C1B-4604-8C5E-772E1DF02C0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296" name="AutoShape 4" descr="http://www.cristaleriasmartinez.com.mx/img/THUSLRCF0860.jpg">
          <a:extLst>
            <a:ext uri="{FF2B5EF4-FFF2-40B4-BE49-F238E27FC236}">
              <a16:creationId xmlns:a16="http://schemas.microsoft.com/office/drawing/2014/main" id="{FAC55E03-4897-4C93-AA4F-E2F8D78C258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297" name="AutoShape 4" descr="http://www.cristaleriasmartinez.com.mx/img/THUSLRCF0860.jpg">
          <a:extLst>
            <a:ext uri="{FF2B5EF4-FFF2-40B4-BE49-F238E27FC236}">
              <a16:creationId xmlns:a16="http://schemas.microsoft.com/office/drawing/2014/main" id="{B967B3A4-3E8E-4AB4-BE5C-8DC8E46976A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298" name="AutoShape 4" descr="http://www.cristaleriasmartinez.com.mx/img/THUSLRCF0860.jpg">
          <a:extLst>
            <a:ext uri="{FF2B5EF4-FFF2-40B4-BE49-F238E27FC236}">
              <a16:creationId xmlns:a16="http://schemas.microsoft.com/office/drawing/2014/main" id="{91B9C506-FBE1-4437-89A1-30ECA61B3CA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299" name="AutoShape 4" descr="http://www.cristaleriasmartinez.com.mx/img/THUSLRCF0860.jpg">
          <a:extLst>
            <a:ext uri="{FF2B5EF4-FFF2-40B4-BE49-F238E27FC236}">
              <a16:creationId xmlns:a16="http://schemas.microsoft.com/office/drawing/2014/main" id="{642EA93D-C4C9-403A-ABDD-15837208533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300" name="AutoShape 4" descr="http://www.cristaleriasmartinez.com.mx/img/THUSLRCF0860.jpg">
          <a:extLst>
            <a:ext uri="{FF2B5EF4-FFF2-40B4-BE49-F238E27FC236}">
              <a16:creationId xmlns:a16="http://schemas.microsoft.com/office/drawing/2014/main" id="{FF2799AC-8D5B-4317-AD6C-6BA74524384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301" name="AutoShape 4" descr="http://www.cristaleriasmartinez.com.mx/img/THUSLRCF0860.jpg">
          <a:extLst>
            <a:ext uri="{FF2B5EF4-FFF2-40B4-BE49-F238E27FC236}">
              <a16:creationId xmlns:a16="http://schemas.microsoft.com/office/drawing/2014/main" id="{16AC02FF-7073-43B8-BA4C-345BB12BF8F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302" name="AutoShape 4" descr="http://www.cristaleriasmartinez.com.mx/img/THUSLRCF0860.jpg">
          <a:extLst>
            <a:ext uri="{FF2B5EF4-FFF2-40B4-BE49-F238E27FC236}">
              <a16:creationId xmlns:a16="http://schemas.microsoft.com/office/drawing/2014/main" id="{DAADC5BE-682B-4A95-BF72-D5B4253CADB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303" name="AutoShape 4" descr="http://www.cristaleriasmartinez.com.mx/img/THUSLRCF0860.jpg">
          <a:extLst>
            <a:ext uri="{FF2B5EF4-FFF2-40B4-BE49-F238E27FC236}">
              <a16:creationId xmlns:a16="http://schemas.microsoft.com/office/drawing/2014/main" id="{D47BA6DF-048F-43B2-A92F-9EC8DE665C4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305" name="AutoShape 4" descr="http://www.cristaleriasmartinez.com.mx/img/THUSLRCF0860.jpg">
          <a:extLst>
            <a:ext uri="{FF2B5EF4-FFF2-40B4-BE49-F238E27FC236}">
              <a16:creationId xmlns:a16="http://schemas.microsoft.com/office/drawing/2014/main" id="{4FF6542E-3722-427E-9445-AAC1E80E329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306" name="AutoShape 4" descr="http://www.cristaleriasmartinez.com.mx/img/THUSLRCF0860.jpg">
          <a:extLst>
            <a:ext uri="{FF2B5EF4-FFF2-40B4-BE49-F238E27FC236}">
              <a16:creationId xmlns:a16="http://schemas.microsoft.com/office/drawing/2014/main" id="{09B51413-08C1-4B5F-9E33-9289E6B7175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307" name="AutoShape 4" descr="http://www.cristaleriasmartinez.com.mx/img/THUSLRCF0860.jpg">
          <a:extLst>
            <a:ext uri="{FF2B5EF4-FFF2-40B4-BE49-F238E27FC236}">
              <a16:creationId xmlns:a16="http://schemas.microsoft.com/office/drawing/2014/main" id="{753ACF80-6A54-496A-AC3B-87C248E94D7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308" name="AutoShape 4" descr="http://www.cristaleriasmartinez.com.mx/img/THUSLRCF0860.jpg">
          <a:extLst>
            <a:ext uri="{FF2B5EF4-FFF2-40B4-BE49-F238E27FC236}">
              <a16:creationId xmlns:a16="http://schemas.microsoft.com/office/drawing/2014/main" id="{B53FB99D-6842-418C-AE59-676A4B2B2D5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309" name="AutoShape 4" descr="http://www.cristaleriasmartinez.com.mx/img/THUSLRCF0860.jpg">
          <a:extLst>
            <a:ext uri="{FF2B5EF4-FFF2-40B4-BE49-F238E27FC236}">
              <a16:creationId xmlns:a16="http://schemas.microsoft.com/office/drawing/2014/main" id="{2D8B5670-1773-4538-A5D6-22C566AE1F1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310" name="AutoShape 4" descr="http://www.cristaleriasmartinez.com.mx/img/THUSLRCF0860.jpg">
          <a:extLst>
            <a:ext uri="{FF2B5EF4-FFF2-40B4-BE49-F238E27FC236}">
              <a16:creationId xmlns:a16="http://schemas.microsoft.com/office/drawing/2014/main" id="{AA8A1FAD-7077-4FE8-87DE-3B86B4DFECC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311" name="AutoShape 4" descr="http://www.cristaleriasmartinez.com.mx/img/THUSLRCF0860.jpg">
          <a:extLst>
            <a:ext uri="{FF2B5EF4-FFF2-40B4-BE49-F238E27FC236}">
              <a16:creationId xmlns:a16="http://schemas.microsoft.com/office/drawing/2014/main" id="{32F09044-7F0A-4A58-90B1-5D8C156EC79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312" name="AutoShape 4" descr="http://www.cristaleriasmartinez.com.mx/img/THUSLRCF0860.jpg">
          <a:extLst>
            <a:ext uri="{FF2B5EF4-FFF2-40B4-BE49-F238E27FC236}">
              <a16:creationId xmlns:a16="http://schemas.microsoft.com/office/drawing/2014/main" id="{A56209CF-3CA3-4D36-ACB6-B862DCBC3AC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313" name="AutoShape 4" descr="http://www.cristaleriasmartinez.com.mx/img/THUSLRCF0860.jpg">
          <a:extLst>
            <a:ext uri="{FF2B5EF4-FFF2-40B4-BE49-F238E27FC236}">
              <a16:creationId xmlns:a16="http://schemas.microsoft.com/office/drawing/2014/main" id="{3178D920-5F49-4B57-9D29-40B65E6BA29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314" name="AutoShape 4" descr="http://www.cristaleriasmartinez.com.mx/img/THUSLRCF0860.jpg">
          <a:extLst>
            <a:ext uri="{FF2B5EF4-FFF2-40B4-BE49-F238E27FC236}">
              <a16:creationId xmlns:a16="http://schemas.microsoft.com/office/drawing/2014/main" id="{E2DC46C3-24C3-457A-8F3F-6123ADF1DC4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315" name="AutoShape 4" descr="http://www.cristaleriasmartinez.com.mx/img/THUSLRCF0860.jpg">
          <a:extLst>
            <a:ext uri="{FF2B5EF4-FFF2-40B4-BE49-F238E27FC236}">
              <a16:creationId xmlns:a16="http://schemas.microsoft.com/office/drawing/2014/main" id="{7A8D86B8-A122-4F9E-927C-BD5926DAFF5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316" name="AutoShape 4" descr="http://www.cristaleriasmartinez.com.mx/img/THUSLRCF0860.jpg">
          <a:extLst>
            <a:ext uri="{FF2B5EF4-FFF2-40B4-BE49-F238E27FC236}">
              <a16:creationId xmlns:a16="http://schemas.microsoft.com/office/drawing/2014/main" id="{B5F0B070-F136-42C7-B3F7-A2D7A63899E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317" name="AutoShape 4" descr="http://www.cristaleriasmartinez.com.mx/img/THUSLRCF0860.jpg">
          <a:extLst>
            <a:ext uri="{FF2B5EF4-FFF2-40B4-BE49-F238E27FC236}">
              <a16:creationId xmlns:a16="http://schemas.microsoft.com/office/drawing/2014/main" id="{5E4D7C55-87C6-49C9-BB70-7912B4E55CA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318" name="AutoShape 4" descr="http://www.cristaleriasmartinez.com.mx/img/THUSLRCF0860.jpg">
          <a:extLst>
            <a:ext uri="{FF2B5EF4-FFF2-40B4-BE49-F238E27FC236}">
              <a16:creationId xmlns:a16="http://schemas.microsoft.com/office/drawing/2014/main" id="{028BF85C-9D9C-4191-A6E1-26799AD7A28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319" name="AutoShape 4" descr="http://www.cristaleriasmartinez.com.mx/img/THUSLRCF0860.jpg">
          <a:extLst>
            <a:ext uri="{FF2B5EF4-FFF2-40B4-BE49-F238E27FC236}">
              <a16:creationId xmlns:a16="http://schemas.microsoft.com/office/drawing/2014/main" id="{FFFEDAA3-52DE-47DD-A93F-08B2477CA31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320" name="AutoShape 4" descr="http://www.cristaleriasmartinez.com.mx/img/THUSLRCF0860.jpg">
          <a:extLst>
            <a:ext uri="{FF2B5EF4-FFF2-40B4-BE49-F238E27FC236}">
              <a16:creationId xmlns:a16="http://schemas.microsoft.com/office/drawing/2014/main" id="{AFB8EC85-501C-44B7-AF31-0EC351D3B19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321" name="AutoShape 4" descr="http://www.cristaleriasmartinez.com.mx/img/THUSLRCF0860.jpg">
          <a:extLst>
            <a:ext uri="{FF2B5EF4-FFF2-40B4-BE49-F238E27FC236}">
              <a16:creationId xmlns:a16="http://schemas.microsoft.com/office/drawing/2014/main" id="{65DC9A84-0B6C-40C6-BCED-400A1D066D8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322" name="AutoShape 4" descr="http://www.cristaleriasmartinez.com.mx/img/THUSLRCF0860.jpg">
          <a:extLst>
            <a:ext uri="{FF2B5EF4-FFF2-40B4-BE49-F238E27FC236}">
              <a16:creationId xmlns:a16="http://schemas.microsoft.com/office/drawing/2014/main" id="{D994EBFA-94D2-499E-ABC7-D473FB94ECC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323" name="AutoShape 4" descr="http://www.cristaleriasmartinez.com.mx/img/THUSLRCF0860.jpg">
          <a:extLst>
            <a:ext uri="{FF2B5EF4-FFF2-40B4-BE49-F238E27FC236}">
              <a16:creationId xmlns:a16="http://schemas.microsoft.com/office/drawing/2014/main" id="{DB99BC66-201D-4B01-A0C2-FDC1D43B395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324" name="AutoShape 4" descr="http://www.cristaleriasmartinez.com.mx/img/THUSLRCF0860.jpg">
          <a:extLst>
            <a:ext uri="{FF2B5EF4-FFF2-40B4-BE49-F238E27FC236}">
              <a16:creationId xmlns:a16="http://schemas.microsoft.com/office/drawing/2014/main" id="{7CBD47DF-622E-4D3E-9D2F-3450567F0E5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325" name="AutoShape 4" descr="http://www.cristaleriasmartinez.com.mx/img/THUSLRCF0860.jpg">
          <a:extLst>
            <a:ext uri="{FF2B5EF4-FFF2-40B4-BE49-F238E27FC236}">
              <a16:creationId xmlns:a16="http://schemas.microsoft.com/office/drawing/2014/main" id="{EA997960-A10A-447F-BEF8-27356DACE43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326" name="AutoShape 4" descr="http://www.cristaleriasmartinez.com.mx/img/THUSLRCF0860.jpg">
          <a:extLst>
            <a:ext uri="{FF2B5EF4-FFF2-40B4-BE49-F238E27FC236}">
              <a16:creationId xmlns:a16="http://schemas.microsoft.com/office/drawing/2014/main" id="{305C695F-1860-47F9-B713-820C22C05BF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327" name="AutoShape 4" descr="http://www.cristaleriasmartinez.com.mx/img/THUSLRCF0860.jpg">
          <a:extLst>
            <a:ext uri="{FF2B5EF4-FFF2-40B4-BE49-F238E27FC236}">
              <a16:creationId xmlns:a16="http://schemas.microsoft.com/office/drawing/2014/main" id="{AF3768B8-8F32-44D1-9A1C-3FFE4944839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328" name="AutoShape 4" descr="http://www.cristaleriasmartinez.com.mx/img/THUSLRCF0860.jpg">
          <a:extLst>
            <a:ext uri="{FF2B5EF4-FFF2-40B4-BE49-F238E27FC236}">
              <a16:creationId xmlns:a16="http://schemas.microsoft.com/office/drawing/2014/main" id="{954C38DB-F71B-4A41-B336-8F5DA7FAF7B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329" name="AutoShape 4" descr="http://www.cristaleriasmartinez.com.mx/img/THUSLRCF0860.jpg">
          <a:extLst>
            <a:ext uri="{FF2B5EF4-FFF2-40B4-BE49-F238E27FC236}">
              <a16:creationId xmlns:a16="http://schemas.microsoft.com/office/drawing/2014/main" id="{BCC209BF-5450-4A4F-B55E-A0F7D8DFAB1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330" name="AutoShape 4" descr="http://www.cristaleriasmartinez.com.mx/img/THUSLRCF0860.jpg">
          <a:extLst>
            <a:ext uri="{FF2B5EF4-FFF2-40B4-BE49-F238E27FC236}">
              <a16:creationId xmlns:a16="http://schemas.microsoft.com/office/drawing/2014/main" id="{1ABE6FE9-DD7C-4615-8C81-46B9357C06E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331" name="AutoShape 4" descr="http://www.cristaleriasmartinez.com.mx/img/THUSLRCF0860.jpg">
          <a:extLst>
            <a:ext uri="{FF2B5EF4-FFF2-40B4-BE49-F238E27FC236}">
              <a16:creationId xmlns:a16="http://schemas.microsoft.com/office/drawing/2014/main" id="{49324F29-85D5-4037-9B2E-220558424E9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332" name="AutoShape 4" descr="http://www.cristaleriasmartinez.com.mx/img/THUSLRCF0860.jpg">
          <a:extLst>
            <a:ext uri="{FF2B5EF4-FFF2-40B4-BE49-F238E27FC236}">
              <a16:creationId xmlns:a16="http://schemas.microsoft.com/office/drawing/2014/main" id="{06918243-CA1B-4D8B-8848-210AFFA7D62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333" name="AutoShape 4" descr="http://www.cristaleriasmartinez.com.mx/img/THUSLRCF0860.jpg">
          <a:extLst>
            <a:ext uri="{FF2B5EF4-FFF2-40B4-BE49-F238E27FC236}">
              <a16:creationId xmlns:a16="http://schemas.microsoft.com/office/drawing/2014/main" id="{A6F4F7F5-1CFF-42A6-A762-71534F5F60F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334" name="AutoShape 4" descr="http://www.cristaleriasmartinez.com.mx/img/THUSLRCF0860.jpg">
          <a:extLst>
            <a:ext uri="{FF2B5EF4-FFF2-40B4-BE49-F238E27FC236}">
              <a16:creationId xmlns:a16="http://schemas.microsoft.com/office/drawing/2014/main" id="{2AF7A211-0D49-4001-8C35-4EC75AF691F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335" name="AutoShape 4" descr="http://www.cristaleriasmartinez.com.mx/img/THUSLRCF0860.jpg">
          <a:extLst>
            <a:ext uri="{FF2B5EF4-FFF2-40B4-BE49-F238E27FC236}">
              <a16:creationId xmlns:a16="http://schemas.microsoft.com/office/drawing/2014/main" id="{EA223672-A40F-482D-AA1C-73B6BE06EE8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20</xdr:row>
      <xdr:rowOff>0</xdr:rowOff>
    </xdr:from>
    <xdr:ext cx="758825" cy="186267"/>
    <xdr:sp macro="" textlink="">
      <xdr:nvSpPr>
        <xdr:cNvPr id="336" name="AutoShape 4" descr="http://www.cristaleriasmartinez.com.mx/img/THUSLRCF0860.jpg">
          <a:extLst>
            <a:ext uri="{FF2B5EF4-FFF2-40B4-BE49-F238E27FC236}">
              <a16:creationId xmlns:a16="http://schemas.microsoft.com/office/drawing/2014/main" id="{BDB13C63-ED68-483D-93DA-7B2AB6A7C12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337" name="AutoShape 4" descr="http://www.cristaleriasmartinez.com.mx/img/THUSLRCF0860.jpg">
          <a:extLst>
            <a:ext uri="{FF2B5EF4-FFF2-40B4-BE49-F238E27FC236}">
              <a16:creationId xmlns:a16="http://schemas.microsoft.com/office/drawing/2014/main" id="{3210F234-1FFA-4C4B-AFBA-A39A0B05575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338" name="AutoShape 4" descr="http://www.cristaleriasmartinez.com.mx/img/THUSLRCF0860.jpg">
          <a:extLst>
            <a:ext uri="{FF2B5EF4-FFF2-40B4-BE49-F238E27FC236}">
              <a16:creationId xmlns:a16="http://schemas.microsoft.com/office/drawing/2014/main" id="{55A635DF-6B83-4ABF-8882-5016D28F13C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339" name="AutoShape 4" descr="http://www.cristaleriasmartinez.com.mx/img/THUSLRCF0860.jpg">
          <a:extLst>
            <a:ext uri="{FF2B5EF4-FFF2-40B4-BE49-F238E27FC236}">
              <a16:creationId xmlns:a16="http://schemas.microsoft.com/office/drawing/2014/main" id="{DA203EF4-6928-4E0D-AF58-68392A6C9FC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340" name="AutoShape 4" descr="http://www.cristaleriasmartinez.com.mx/img/THUSLRCF0860.jpg">
          <a:extLst>
            <a:ext uri="{FF2B5EF4-FFF2-40B4-BE49-F238E27FC236}">
              <a16:creationId xmlns:a16="http://schemas.microsoft.com/office/drawing/2014/main" id="{711FCF0B-11B0-4C2A-B584-817FEE4C66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341" name="AutoShape 4" descr="http://www.cristaleriasmartinez.com.mx/img/THUSLRCF0860.jpg">
          <a:extLst>
            <a:ext uri="{FF2B5EF4-FFF2-40B4-BE49-F238E27FC236}">
              <a16:creationId xmlns:a16="http://schemas.microsoft.com/office/drawing/2014/main" id="{5901E233-8E54-488D-82BB-6D783ED20D8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342" name="AutoShape 4" descr="http://www.cristaleriasmartinez.com.mx/img/THUSLRCF0860.jpg">
          <a:extLst>
            <a:ext uri="{FF2B5EF4-FFF2-40B4-BE49-F238E27FC236}">
              <a16:creationId xmlns:a16="http://schemas.microsoft.com/office/drawing/2014/main" id="{38853539-7988-4FCD-905A-9F5FA91EAE6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343" name="AutoShape 4" descr="http://www.cristaleriasmartinez.com.mx/img/THUSLRCF0860.jpg">
          <a:extLst>
            <a:ext uri="{FF2B5EF4-FFF2-40B4-BE49-F238E27FC236}">
              <a16:creationId xmlns:a16="http://schemas.microsoft.com/office/drawing/2014/main" id="{43AC7E11-1189-4229-9D4D-C2FAEEB7283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344" name="AutoShape 4" descr="http://www.cristaleriasmartinez.com.mx/img/THUSLRCF0860.jpg">
          <a:extLst>
            <a:ext uri="{FF2B5EF4-FFF2-40B4-BE49-F238E27FC236}">
              <a16:creationId xmlns:a16="http://schemas.microsoft.com/office/drawing/2014/main" id="{6F2C3817-D54C-44FF-A459-4A1A05A3B23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345" name="AutoShape 4" descr="http://www.cristaleriasmartinez.com.mx/img/THUSLRCF0860.jpg">
          <a:extLst>
            <a:ext uri="{FF2B5EF4-FFF2-40B4-BE49-F238E27FC236}">
              <a16:creationId xmlns:a16="http://schemas.microsoft.com/office/drawing/2014/main" id="{38618FB1-D277-4CDE-A1CC-2F2CE33CA3E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346" name="AutoShape 4" descr="http://www.cristaleriasmartinez.com.mx/img/THUSLRCF0860.jpg">
          <a:extLst>
            <a:ext uri="{FF2B5EF4-FFF2-40B4-BE49-F238E27FC236}">
              <a16:creationId xmlns:a16="http://schemas.microsoft.com/office/drawing/2014/main" id="{CB0DD5F1-BC34-4FC4-BC6C-BEDE3EEA65F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347" name="AutoShape 4" descr="http://www.cristaleriasmartinez.com.mx/img/THUSLRCF0860.jpg">
          <a:extLst>
            <a:ext uri="{FF2B5EF4-FFF2-40B4-BE49-F238E27FC236}">
              <a16:creationId xmlns:a16="http://schemas.microsoft.com/office/drawing/2014/main" id="{D0B4D41F-7077-477F-92FD-C2413E85A9E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348" name="AutoShape 4" descr="http://www.cristaleriasmartinez.com.mx/img/THUSLRCF0860.jpg">
          <a:extLst>
            <a:ext uri="{FF2B5EF4-FFF2-40B4-BE49-F238E27FC236}">
              <a16:creationId xmlns:a16="http://schemas.microsoft.com/office/drawing/2014/main" id="{841BEA0A-F260-4BAC-A196-3F74DED8DF8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349" name="AutoShape 4" descr="http://www.cristaleriasmartinez.com.mx/img/THUSLRCF0860.jpg">
          <a:extLst>
            <a:ext uri="{FF2B5EF4-FFF2-40B4-BE49-F238E27FC236}">
              <a16:creationId xmlns:a16="http://schemas.microsoft.com/office/drawing/2014/main" id="{0058E739-F78C-4388-AAA5-50C1BC1FCE4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350" name="AutoShape 4" descr="http://www.cristaleriasmartinez.com.mx/img/THUSLRCF0860.jpg">
          <a:extLst>
            <a:ext uri="{FF2B5EF4-FFF2-40B4-BE49-F238E27FC236}">
              <a16:creationId xmlns:a16="http://schemas.microsoft.com/office/drawing/2014/main" id="{8AE80D21-CBC5-4A98-B941-85777744DBD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351" name="AutoShape 4" descr="http://www.cristaleriasmartinez.com.mx/img/THUSLRCF0860.jpg">
          <a:extLst>
            <a:ext uri="{FF2B5EF4-FFF2-40B4-BE49-F238E27FC236}">
              <a16:creationId xmlns:a16="http://schemas.microsoft.com/office/drawing/2014/main" id="{D22E9559-42D2-4FD4-BA58-A35542F0166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352" name="AutoShape 4" descr="http://www.cristaleriasmartinez.com.mx/img/THUSLRCF0860.jpg">
          <a:extLst>
            <a:ext uri="{FF2B5EF4-FFF2-40B4-BE49-F238E27FC236}">
              <a16:creationId xmlns:a16="http://schemas.microsoft.com/office/drawing/2014/main" id="{F4B22EC1-E245-4748-B679-C2AA9D168F6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353" name="AutoShape 4" descr="http://www.cristaleriasmartinez.com.mx/img/THUSLRCF0860.jpg">
          <a:extLst>
            <a:ext uri="{FF2B5EF4-FFF2-40B4-BE49-F238E27FC236}">
              <a16:creationId xmlns:a16="http://schemas.microsoft.com/office/drawing/2014/main" id="{8C1A159F-BA93-4242-9462-026A2DE4D66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354" name="AutoShape 4" descr="http://www.cristaleriasmartinez.com.mx/img/THUSLRCF0860.jpg">
          <a:extLst>
            <a:ext uri="{FF2B5EF4-FFF2-40B4-BE49-F238E27FC236}">
              <a16:creationId xmlns:a16="http://schemas.microsoft.com/office/drawing/2014/main" id="{47B06AE9-FD4F-4E28-9326-0765F9F482A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355" name="AutoShape 4" descr="http://www.cristaleriasmartinez.com.mx/img/THUSLRCF0860.jpg">
          <a:extLst>
            <a:ext uri="{FF2B5EF4-FFF2-40B4-BE49-F238E27FC236}">
              <a16:creationId xmlns:a16="http://schemas.microsoft.com/office/drawing/2014/main" id="{6316D932-7304-4505-9579-65C456BAABF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356" name="AutoShape 4" descr="http://www.cristaleriasmartinez.com.mx/img/THUSLRCF0860.jpg">
          <a:extLst>
            <a:ext uri="{FF2B5EF4-FFF2-40B4-BE49-F238E27FC236}">
              <a16:creationId xmlns:a16="http://schemas.microsoft.com/office/drawing/2014/main" id="{B1EA21A4-06A9-4EB5-9A09-74A642A1274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357" name="AutoShape 4" descr="http://www.cristaleriasmartinez.com.mx/img/THUSLRCF0860.jpg">
          <a:extLst>
            <a:ext uri="{FF2B5EF4-FFF2-40B4-BE49-F238E27FC236}">
              <a16:creationId xmlns:a16="http://schemas.microsoft.com/office/drawing/2014/main" id="{2E4019E3-8F9C-409D-A239-C87D4CB64BC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358" name="AutoShape 4" descr="http://www.cristaleriasmartinez.com.mx/img/THUSLRCF0860.jpg">
          <a:extLst>
            <a:ext uri="{FF2B5EF4-FFF2-40B4-BE49-F238E27FC236}">
              <a16:creationId xmlns:a16="http://schemas.microsoft.com/office/drawing/2014/main" id="{7B8D7121-0C99-4CFF-984B-C83E7F8B1A8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359" name="AutoShape 4" descr="http://www.cristaleriasmartinez.com.mx/img/THUSLRCF0860.jpg">
          <a:extLst>
            <a:ext uri="{FF2B5EF4-FFF2-40B4-BE49-F238E27FC236}">
              <a16:creationId xmlns:a16="http://schemas.microsoft.com/office/drawing/2014/main" id="{817FB17D-AC45-42C3-80A0-39F365A9885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360" name="AutoShape 4" descr="http://www.cristaleriasmartinez.com.mx/img/THUSLRCF0860.jpg">
          <a:extLst>
            <a:ext uri="{FF2B5EF4-FFF2-40B4-BE49-F238E27FC236}">
              <a16:creationId xmlns:a16="http://schemas.microsoft.com/office/drawing/2014/main" id="{2F4785C0-1F2F-4D26-BF26-4406EEE5D59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361" name="AutoShape 4" descr="http://www.cristaleriasmartinez.com.mx/img/THUSLRCF0860.jpg">
          <a:extLst>
            <a:ext uri="{FF2B5EF4-FFF2-40B4-BE49-F238E27FC236}">
              <a16:creationId xmlns:a16="http://schemas.microsoft.com/office/drawing/2014/main" id="{3AF0C585-5845-48E9-B207-B5D50509A05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362" name="AutoShape 4" descr="http://www.cristaleriasmartinez.com.mx/img/THUSLRCF0860.jpg">
          <a:extLst>
            <a:ext uri="{FF2B5EF4-FFF2-40B4-BE49-F238E27FC236}">
              <a16:creationId xmlns:a16="http://schemas.microsoft.com/office/drawing/2014/main" id="{569B77DB-F659-4B3B-8506-9A8DFABC7ED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363" name="AutoShape 4" descr="http://www.cristaleriasmartinez.com.mx/img/THUSLRCF0860.jpg">
          <a:extLst>
            <a:ext uri="{FF2B5EF4-FFF2-40B4-BE49-F238E27FC236}">
              <a16:creationId xmlns:a16="http://schemas.microsoft.com/office/drawing/2014/main" id="{489C4A33-402B-49D6-A7C3-41B21E3EE60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364" name="AutoShape 4" descr="http://www.cristaleriasmartinez.com.mx/img/THUSLRCF0860.jpg">
          <a:extLst>
            <a:ext uri="{FF2B5EF4-FFF2-40B4-BE49-F238E27FC236}">
              <a16:creationId xmlns:a16="http://schemas.microsoft.com/office/drawing/2014/main" id="{00DDC9C0-CACF-4496-A21F-F44A72AA86E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365" name="AutoShape 4" descr="http://www.cristaleriasmartinez.com.mx/img/THUSLRCF0860.jpg">
          <a:extLst>
            <a:ext uri="{FF2B5EF4-FFF2-40B4-BE49-F238E27FC236}">
              <a16:creationId xmlns:a16="http://schemas.microsoft.com/office/drawing/2014/main" id="{C516A570-9538-46E9-B281-6A26EB84A8E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366" name="AutoShape 4" descr="http://www.cristaleriasmartinez.com.mx/img/THUSLRCF0860.jpg">
          <a:extLst>
            <a:ext uri="{FF2B5EF4-FFF2-40B4-BE49-F238E27FC236}">
              <a16:creationId xmlns:a16="http://schemas.microsoft.com/office/drawing/2014/main" id="{C46D44BD-10DC-46FB-98B7-470CA70F9B4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367" name="AutoShape 4" descr="http://www.cristaleriasmartinez.com.mx/img/THUSLRCF0860.jpg">
          <a:extLst>
            <a:ext uri="{FF2B5EF4-FFF2-40B4-BE49-F238E27FC236}">
              <a16:creationId xmlns:a16="http://schemas.microsoft.com/office/drawing/2014/main" id="{0497C9A3-BFBA-47DA-830C-056D9305B9D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368" name="AutoShape 4" descr="http://www.cristaleriasmartinez.com.mx/img/THUSLRCF0860.jpg">
          <a:extLst>
            <a:ext uri="{FF2B5EF4-FFF2-40B4-BE49-F238E27FC236}">
              <a16:creationId xmlns:a16="http://schemas.microsoft.com/office/drawing/2014/main" id="{4D38467A-6285-487E-A32C-A69E1324995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369" name="AutoShape 4" descr="http://www.cristaleriasmartinez.com.mx/img/THUSLRCF0860.jpg">
          <a:extLst>
            <a:ext uri="{FF2B5EF4-FFF2-40B4-BE49-F238E27FC236}">
              <a16:creationId xmlns:a16="http://schemas.microsoft.com/office/drawing/2014/main" id="{78B74134-76A6-4018-B50D-7A6CF3CF261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370" name="AutoShape 4" descr="http://www.cristaleriasmartinez.com.mx/img/THUSLRCF0860.jpg">
          <a:extLst>
            <a:ext uri="{FF2B5EF4-FFF2-40B4-BE49-F238E27FC236}">
              <a16:creationId xmlns:a16="http://schemas.microsoft.com/office/drawing/2014/main" id="{7F7FE617-94A8-4FED-9420-2E6C7555E1C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371" name="AutoShape 4" descr="http://www.cristaleriasmartinez.com.mx/img/THUSLRCF0860.jpg">
          <a:extLst>
            <a:ext uri="{FF2B5EF4-FFF2-40B4-BE49-F238E27FC236}">
              <a16:creationId xmlns:a16="http://schemas.microsoft.com/office/drawing/2014/main" id="{0B3FAE05-95CC-4A7D-A903-601264C2D62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372" name="AutoShape 4" descr="http://www.cristaleriasmartinez.com.mx/img/THUSLRCF0860.jpg">
          <a:extLst>
            <a:ext uri="{FF2B5EF4-FFF2-40B4-BE49-F238E27FC236}">
              <a16:creationId xmlns:a16="http://schemas.microsoft.com/office/drawing/2014/main" id="{05E3C363-81B4-49E2-ABBE-4EFB95DE72B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373" name="AutoShape 4" descr="http://www.cristaleriasmartinez.com.mx/img/THUSLRCF0860.jpg">
          <a:extLst>
            <a:ext uri="{FF2B5EF4-FFF2-40B4-BE49-F238E27FC236}">
              <a16:creationId xmlns:a16="http://schemas.microsoft.com/office/drawing/2014/main" id="{BC29EEDF-F1D2-4529-92E6-BD1C9A80DF7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374" name="AutoShape 4" descr="http://www.cristaleriasmartinez.com.mx/img/THUSLRCF0860.jpg">
          <a:extLst>
            <a:ext uri="{FF2B5EF4-FFF2-40B4-BE49-F238E27FC236}">
              <a16:creationId xmlns:a16="http://schemas.microsoft.com/office/drawing/2014/main" id="{ED95746F-4042-4F1C-95E7-46F53E76C18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375" name="AutoShape 4" descr="http://www.cristaleriasmartinez.com.mx/img/THUSLRCF0860.jpg">
          <a:extLst>
            <a:ext uri="{FF2B5EF4-FFF2-40B4-BE49-F238E27FC236}">
              <a16:creationId xmlns:a16="http://schemas.microsoft.com/office/drawing/2014/main" id="{C02F40A4-3C73-4B2C-80A7-049F70DAC3F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376" name="AutoShape 4" descr="http://www.cristaleriasmartinez.com.mx/img/THUSLRCF0860.jpg">
          <a:extLst>
            <a:ext uri="{FF2B5EF4-FFF2-40B4-BE49-F238E27FC236}">
              <a16:creationId xmlns:a16="http://schemas.microsoft.com/office/drawing/2014/main" id="{3900D191-A64A-4D8E-9160-66FDDA5A7EF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377" name="AutoShape 4" descr="http://www.cristaleriasmartinez.com.mx/img/THUSLRCF0860.jpg">
          <a:extLst>
            <a:ext uri="{FF2B5EF4-FFF2-40B4-BE49-F238E27FC236}">
              <a16:creationId xmlns:a16="http://schemas.microsoft.com/office/drawing/2014/main" id="{53AD984C-C9FC-4A05-B5B1-2BBCB94F82B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378" name="AutoShape 4" descr="http://www.cristaleriasmartinez.com.mx/img/THUSLRCF0860.jpg">
          <a:extLst>
            <a:ext uri="{FF2B5EF4-FFF2-40B4-BE49-F238E27FC236}">
              <a16:creationId xmlns:a16="http://schemas.microsoft.com/office/drawing/2014/main" id="{9FD2DC72-66C4-4E99-B8F1-2E91AFBEFBE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379" name="AutoShape 4" descr="http://www.cristaleriasmartinez.com.mx/img/THUSLRCF0860.jpg">
          <a:extLst>
            <a:ext uri="{FF2B5EF4-FFF2-40B4-BE49-F238E27FC236}">
              <a16:creationId xmlns:a16="http://schemas.microsoft.com/office/drawing/2014/main" id="{818C626F-3449-4F14-9A2F-4637E960109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380" name="AutoShape 4" descr="http://www.cristaleriasmartinez.com.mx/img/THUSLRCF0860.jpg">
          <a:extLst>
            <a:ext uri="{FF2B5EF4-FFF2-40B4-BE49-F238E27FC236}">
              <a16:creationId xmlns:a16="http://schemas.microsoft.com/office/drawing/2014/main" id="{76951FCB-1DB1-4716-9CF6-6330F71353A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381" name="AutoShape 4" descr="http://www.cristaleriasmartinez.com.mx/img/THUSLRCF0860.jpg">
          <a:extLst>
            <a:ext uri="{FF2B5EF4-FFF2-40B4-BE49-F238E27FC236}">
              <a16:creationId xmlns:a16="http://schemas.microsoft.com/office/drawing/2014/main" id="{A552E6B7-CF30-4CDE-8C8A-5CD392A7C4C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382" name="AutoShape 4" descr="http://www.cristaleriasmartinez.com.mx/img/THUSLRCF0860.jpg">
          <a:extLst>
            <a:ext uri="{FF2B5EF4-FFF2-40B4-BE49-F238E27FC236}">
              <a16:creationId xmlns:a16="http://schemas.microsoft.com/office/drawing/2014/main" id="{F449B2AD-7F72-4AE4-B113-0290388C917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383" name="AutoShape 4" descr="http://www.cristaleriasmartinez.com.mx/img/THUSLRCF0860.jpg">
          <a:extLst>
            <a:ext uri="{FF2B5EF4-FFF2-40B4-BE49-F238E27FC236}">
              <a16:creationId xmlns:a16="http://schemas.microsoft.com/office/drawing/2014/main" id="{AE04E643-F96C-4DDF-B046-3F2A39AE929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384" name="AutoShape 4" descr="http://www.cristaleriasmartinez.com.mx/img/THUSLRCF0860.jpg">
          <a:extLst>
            <a:ext uri="{FF2B5EF4-FFF2-40B4-BE49-F238E27FC236}">
              <a16:creationId xmlns:a16="http://schemas.microsoft.com/office/drawing/2014/main" id="{F2310E48-09D6-49E2-A9A5-C94A49031F4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2752725</xdr:colOff>
      <xdr:row>19</xdr:row>
      <xdr:rowOff>0</xdr:rowOff>
    </xdr:from>
    <xdr:ext cx="962025" cy="0"/>
    <xdr:pic>
      <xdr:nvPicPr>
        <xdr:cNvPr id="385" name="7 Imagen" descr="FTT-250D.JPG">
          <a:extLst>
            <a:ext uri="{FF2B5EF4-FFF2-40B4-BE49-F238E27FC236}">
              <a16:creationId xmlns:a16="http://schemas.microsoft.com/office/drawing/2014/main" id="{88FE5ED8-CC62-48FC-BD3E-3C67CB800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815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19</xdr:row>
      <xdr:rowOff>0</xdr:rowOff>
    </xdr:from>
    <xdr:ext cx="1009650" cy="0"/>
    <xdr:pic>
      <xdr:nvPicPr>
        <xdr:cNvPr id="386" name="8 Imagen" descr="FTT-250I.JPG">
          <a:extLst>
            <a:ext uri="{FF2B5EF4-FFF2-40B4-BE49-F238E27FC236}">
              <a16:creationId xmlns:a16="http://schemas.microsoft.com/office/drawing/2014/main" id="{9AEF5FAF-FAD3-4E3D-82A7-06EFA2DD0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815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19</xdr:row>
      <xdr:rowOff>0</xdr:rowOff>
    </xdr:from>
    <xdr:ext cx="962025" cy="0"/>
    <xdr:pic>
      <xdr:nvPicPr>
        <xdr:cNvPr id="387" name="7 Imagen" descr="FTT-250D.JPG">
          <a:extLst>
            <a:ext uri="{FF2B5EF4-FFF2-40B4-BE49-F238E27FC236}">
              <a16:creationId xmlns:a16="http://schemas.microsoft.com/office/drawing/2014/main" id="{DAD0732E-09BA-44CC-A3F3-46A7BE6DE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815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19</xdr:row>
      <xdr:rowOff>0</xdr:rowOff>
    </xdr:from>
    <xdr:ext cx="1009650" cy="0"/>
    <xdr:pic>
      <xdr:nvPicPr>
        <xdr:cNvPr id="388" name="8 Imagen" descr="FTT-250I.JPG">
          <a:extLst>
            <a:ext uri="{FF2B5EF4-FFF2-40B4-BE49-F238E27FC236}">
              <a16:creationId xmlns:a16="http://schemas.microsoft.com/office/drawing/2014/main" id="{FCEF8204-C74E-4305-BD6C-89D7A36DA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815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389" name="AutoShape 4" descr="http://www.cristaleriasmartinez.com.mx/img/THUSLRCF0860.jpg">
          <a:extLst>
            <a:ext uri="{FF2B5EF4-FFF2-40B4-BE49-F238E27FC236}">
              <a16:creationId xmlns:a16="http://schemas.microsoft.com/office/drawing/2014/main" id="{4635855C-D176-4823-966B-4DF0ECD6EFC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390" name="AutoShape 4" descr="http://www.cristaleriasmartinez.com.mx/img/THUSLRCF0860.jpg">
          <a:extLst>
            <a:ext uri="{FF2B5EF4-FFF2-40B4-BE49-F238E27FC236}">
              <a16:creationId xmlns:a16="http://schemas.microsoft.com/office/drawing/2014/main" id="{AF49F59D-12A2-4756-B0E0-D8D5DCFC5E8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2752725</xdr:colOff>
      <xdr:row>19</xdr:row>
      <xdr:rowOff>0</xdr:rowOff>
    </xdr:from>
    <xdr:ext cx="962025" cy="0"/>
    <xdr:pic>
      <xdr:nvPicPr>
        <xdr:cNvPr id="391" name="7 Imagen" descr="FTT-250D.JPG">
          <a:extLst>
            <a:ext uri="{FF2B5EF4-FFF2-40B4-BE49-F238E27FC236}">
              <a16:creationId xmlns:a16="http://schemas.microsoft.com/office/drawing/2014/main" id="{6F65AF3B-BEBB-4FA5-81E7-CAD416875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815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19</xdr:row>
      <xdr:rowOff>0</xdr:rowOff>
    </xdr:from>
    <xdr:ext cx="1009650" cy="0"/>
    <xdr:pic>
      <xdr:nvPicPr>
        <xdr:cNvPr id="392" name="8 Imagen" descr="FTT-250I.JPG">
          <a:extLst>
            <a:ext uri="{FF2B5EF4-FFF2-40B4-BE49-F238E27FC236}">
              <a16:creationId xmlns:a16="http://schemas.microsoft.com/office/drawing/2014/main" id="{F384D05F-CEE5-4C9F-A4AA-DACB1124B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815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19</xdr:row>
      <xdr:rowOff>0</xdr:rowOff>
    </xdr:from>
    <xdr:ext cx="962025" cy="0"/>
    <xdr:pic>
      <xdr:nvPicPr>
        <xdr:cNvPr id="393" name="7 Imagen" descr="FTT-250D.JPG">
          <a:extLst>
            <a:ext uri="{FF2B5EF4-FFF2-40B4-BE49-F238E27FC236}">
              <a16:creationId xmlns:a16="http://schemas.microsoft.com/office/drawing/2014/main" id="{352754E0-15F3-460C-921B-87EF2A9FD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815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19</xdr:row>
      <xdr:rowOff>0</xdr:rowOff>
    </xdr:from>
    <xdr:ext cx="1009650" cy="0"/>
    <xdr:pic>
      <xdr:nvPicPr>
        <xdr:cNvPr id="394" name="8 Imagen" descr="FTT-250I.JPG">
          <a:extLst>
            <a:ext uri="{FF2B5EF4-FFF2-40B4-BE49-F238E27FC236}">
              <a16:creationId xmlns:a16="http://schemas.microsoft.com/office/drawing/2014/main" id="{711B3361-ACE8-409F-B97F-1F0177FED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815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395" name="AutoShape 4" descr="http://www.cristaleriasmartinez.com.mx/img/THUSLRCF0860.jpg">
          <a:extLst>
            <a:ext uri="{FF2B5EF4-FFF2-40B4-BE49-F238E27FC236}">
              <a16:creationId xmlns:a16="http://schemas.microsoft.com/office/drawing/2014/main" id="{40B7C46C-A739-4228-923D-63373988F01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396" name="AutoShape 4" descr="http://www.cristaleriasmartinez.com.mx/img/THUSLRCF0860.jpg">
          <a:extLst>
            <a:ext uri="{FF2B5EF4-FFF2-40B4-BE49-F238E27FC236}">
              <a16:creationId xmlns:a16="http://schemas.microsoft.com/office/drawing/2014/main" id="{9F7231D6-3D8C-4D79-9CFF-370259C1E74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2752725</xdr:colOff>
      <xdr:row>19</xdr:row>
      <xdr:rowOff>0</xdr:rowOff>
    </xdr:from>
    <xdr:ext cx="962025" cy="0"/>
    <xdr:pic>
      <xdr:nvPicPr>
        <xdr:cNvPr id="397" name="7 Imagen" descr="FTT-250D.JPG">
          <a:extLst>
            <a:ext uri="{FF2B5EF4-FFF2-40B4-BE49-F238E27FC236}">
              <a16:creationId xmlns:a16="http://schemas.microsoft.com/office/drawing/2014/main" id="{3B715BAC-44A9-4297-A585-047F4D97C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815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19</xdr:row>
      <xdr:rowOff>0</xdr:rowOff>
    </xdr:from>
    <xdr:ext cx="1009650" cy="0"/>
    <xdr:pic>
      <xdr:nvPicPr>
        <xdr:cNvPr id="398" name="8 Imagen" descr="FTT-250I.JPG">
          <a:extLst>
            <a:ext uri="{FF2B5EF4-FFF2-40B4-BE49-F238E27FC236}">
              <a16:creationId xmlns:a16="http://schemas.microsoft.com/office/drawing/2014/main" id="{AE6B9C6B-B21E-4903-B0D7-D388F0F29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815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19</xdr:row>
      <xdr:rowOff>0</xdr:rowOff>
    </xdr:from>
    <xdr:ext cx="962025" cy="0"/>
    <xdr:pic>
      <xdr:nvPicPr>
        <xdr:cNvPr id="399" name="7 Imagen" descr="FTT-250D.JPG">
          <a:extLst>
            <a:ext uri="{FF2B5EF4-FFF2-40B4-BE49-F238E27FC236}">
              <a16:creationId xmlns:a16="http://schemas.microsoft.com/office/drawing/2014/main" id="{ED6F9A07-88CD-4063-A444-7D7B3D822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815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19</xdr:row>
      <xdr:rowOff>0</xdr:rowOff>
    </xdr:from>
    <xdr:ext cx="1009650" cy="0"/>
    <xdr:pic>
      <xdr:nvPicPr>
        <xdr:cNvPr id="400" name="8 Imagen" descr="FTT-250I.JPG">
          <a:extLst>
            <a:ext uri="{FF2B5EF4-FFF2-40B4-BE49-F238E27FC236}">
              <a16:creationId xmlns:a16="http://schemas.microsoft.com/office/drawing/2014/main" id="{D81737E8-715A-4D78-AD1E-24B9103E3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815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401" name="AutoShape 4" descr="http://www.cristaleriasmartinez.com.mx/img/THUSLRCF0860.jpg">
          <a:extLst>
            <a:ext uri="{FF2B5EF4-FFF2-40B4-BE49-F238E27FC236}">
              <a16:creationId xmlns:a16="http://schemas.microsoft.com/office/drawing/2014/main" id="{85A6569D-712C-4311-87A9-D8E098F0388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402" name="AutoShape 4" descr="http://www.cristaleriasmartinez.com.mx/img/THUSLRCF0860.jpg">
          <a:extLst>
            <a:ext uri="{FF2B5EF4-FFF2-40B4-BE49-F238E27FC236}">
              <a16:creationId xmlns:a16="http://schemas.microsoft.com/office/drawing/2014/main" id="{4BA9CE82-8958-404B-AD77-62E18C74F10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2752725</xdr:colOff>
      <xdr:row>19</xdr:row>
      <xdr:rowOff>0</xdr:rowOff>
    </xdr:from>
    <xdr:ext cx="962025" cy="0"/>
    <xdr:pic>
      <xdr:nvPicPr>
        <xdr:cNvPr id="403" name="7 Imagen" descr="FTT-250D.JPG">
          <a:extLst>
            <a:ext uri="{FF2B5EF4-FFF2-40B4-BE49-F238E27FC236}">
              <a16:creationId xmlns:a16="http://schemas.microsoft.com/office/drawing/2014/main" id="{81EC9D88-18D5-4095-AF7D-B1D512875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815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19</xdr:row>
      <xdr:rowOff>0</xdr:rowOff>
    </xdr:from>
    <xdr:ext cx="1009650" cy="0"/>
    <xdr:pic>
      <xdr:nvPicPr>
        <xdr:cNvPr id="404" name="8 Imagen" descr="FTT-250I.JPG">
          <a:extLst>
            <a:ext uri="{FF2B5EF4-FFF2-40B4-BE49-F238E27FC236}">
              <a16:creationId xmlns:a16="http://schemas.microsoft.com/office/drawing/2014/main" id="{402AF791-855B-4291-B13C-8B2351601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815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19</xdr:row>
      <xdr:rowOff>0</xdr:rowOff>
    </xdr:from>
    <xdr:ext cx="962025" cy="0"/>
    <xdr:pic>
      <xdr:nvPicPr>
        <xdr:cNvPr id="405" name="7 Imagen" descr="FTT-250D.JPG">
          <a:extLst>
            <a:ext uri="{FF2B5EF4-FFF2-40B4-BE49-F238E27FC236}">
              <a16:creationId xmlns:a16="http://schemas.microsoft.com/office/drawing/2014/main" id="{C8571982-9580-4A4D-ABDD-7D01A4845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815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19</xdr:row>
      <xdr:rowOff>0</xdr:rowOff>
    </xdr:from>
    <xdr:ext cx="1009650" cy="0"/>
    <xdr:pic>
      <xdr:nvPicPr>
        <xdr:cNvPr id="406" name="8 Imagen" descr="FTT-250I.JPG">
          <a:extLst>
            <a:ext uri="{FF2B5EF4-FFF2-40B4-BE49-F238E27FC236}">
              <a16:creationId xmlns:a16="http://schemas.microsoft.com/office/drawing/2014/main" id="{95289AC5-9FD7-4CD2-B38C-25D1DE1D3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815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407" name="AutoShape 4" descr="http://www.cristaleriasmartinez.com.mx/img/THUSLRCF0860.jpg">
          <a:extLst>
            <a:ext uri="{FF2B5EF4-FFF2-40B4-BE49-F238E27FC236}">
              <a16:creationId xmlns:a16="http://schemas.microsoft.com/office/drawing/2014/main" id="{30653DB9-5C4A-400A-A289-C3080CEFF88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408" name="AutoShape 4" descr="http://www.cristaleriasmartinez.com.mx/img/THUSLRCF0860.jpg">
          <a:extLst>
            <a:ext uri="{FF2B5EF4-FFF2-40B4-BE49-F238E27FC236}">
              <a16:creationId xmlns:a16="http://schemas.microsoft.com/office/drawing/2014/main" id="{64909A80-8DEF-4874-A969-CBC203DAD89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2752725</xdr:colOff>
      <xdr:row>19</xdr:row>
      <xdr:rowOff>0</xdr:rowOff>
    </xdr:from>
    <xdr:ext cx="962025" cy="0"/>
    <xdr:pic>
      <xdr:nvPicPr>
        <xdr:cNvPr id="409" name="7 Imagen" descr="FTT-250D.JPG">
          <a:extLst>
            <a:ext uri="{FF2B5EF4-FFF2-40B4-BE49-F238E27FC236}">
              <a16:creationId xmlns:a16="http://schemas.microsoft.com/office/drawing/2014/main" id="{18F10168-4B27-4A1C-A394-9192AC99F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815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19</xdr:row>
      <xdr:rowOff>0</xdr:rowOff>
    </xdr:from>
    <xdr:ext cx="1009650" cy="0"/>
    <xdr:pic>
      <xdr:nvPicPr>
        <xdr:cNvPr id="410" name="8 Imagen" descr="FTT-250I.JPG">
          <a:extLst>
            <a:ext uri="{FF2B5EF4-FFF2-40B4-BE49-F238E27FC236}">
              <a16:creationId xmlns:a16="http://schemas.microsoft.com/office/drawing/2014/main" id="{DD2BC138-94F9-4E78-A2B7-D4A922CFA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815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19</xdr:row>
      <xdr:rowOff>0</xdr:rowOff>
    </xdr:from>
    <xdr:ext cx="962025" cy="0"/>
    <xdr:pic>
      <xdr:nvPicPr>
        <xdr:cNvPr id="411" name="7 Imagen" descr="FTT-250D.JPG">
          <a:extLst>
            <a:ext uri="{FF2B5EF4-FFF2-40B4-BE49-F238E27FC236}">
              <a16:creationId xmlns:a16="http://schemas.microsoft.com/office/drawing/2014/main" id="{DA59874B-FD94-44D2-8E4C-1263970B4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815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19</xdr:row>
      <xdr:rowOff>0</xdr:rowOff>
    </xdr:from>
    <xdr:ext cx="1009650" cy="0"/>
    <xdr:pic>
      <xdr:nvPicPr>
        <xdr:cNvPr id="412" name="8 Imagen" descr="FTT-250I.JPG">
          <a:extLst>
            <a:ext uri="{FF2B5EF4-FFF2-40B4-BE49-F238E27FC236}">
              <a16:creationId xmlns:a16="http://schemas.microsoft.com/office/drawing/2014/main" id="{1D0CF268-38D1-462E-9A39-BE823954F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815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413" name="AutoShape 4" descr="http://www.cristaleriasmartinez.com.mx/img/THUSLRCF0860.jpg">
          <a:extLst>
            <a:ext uri="{FF2B5EF4-FFF2-40B4-BE49-F238E27FC236}">
              <a16:creationId xmlns:a16="http://schemas.microsoft.com/office/drawing/2014/main" id="{30E95C97-279F-4C45-A25C-D9C55E97CEC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414" name="AutoShape 4" descr="http://www.cristaleriasmartinez.com.mx/img/THUSLRCF0860.jpg">
          <a:extLst>
            <a:ext uri="{FF2B5EF4-FFF2-40B4-BE49-F238E27FC236}">
              <a16:creationId xmlns:a16="http://schemas.microsoft.com/office/drawing/2014/main" id="{EB24CD22-77C1-41D9-9E8A-D05580EDBDF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2752725</xdr:colOff>
      <xdr:row>19</xdr:row>
      <xdr:rowOff>0</xdr:rowOff>
    </xdr:from>
    <xdr:ext cx="962025" cy="0"/>
    <xdr:pic>
      <xdr:nvPicPr>
        <xdr:cNvPr id="415" name="7 Imagen" descr="FTT-250D.JPG">
          <a:extLst>
            <a:ext uri="{FF2B5EF4-FFF2-40B4-BE49-F238E27FC236}">
              <a16:creationId xmlns:a16="http://schemas.microsoft.com/office/drawing/2014/main" id="{2993BC31-7132-4AE0-A70E-5AD67DCC0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815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19</xdr:row>
      <xdr:rowOff>0</xdr:rowOff>
    </xdr:from>
    <xdr:ext cx="1009650" cy="0"/>
    <xdr:pic>
      <xdr:nvPicPr>
        <xdr:cNvPr id="416" name="8 Imagen" descr="FTT-250I.JPG">
          <a:extLst>
            <a:ext uri="{FF2B5EF4-FFF2-40B4-BE49-F238E27FC236}">
              <a16:creationId xmlns:a16="http://schemas.microsoft.com/office/drawing/2014/main" id="{8947A5F0-717A-480F-8768-CC278A053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815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19</xdr:row>
      <xdr:rowOff>0</xdr:rowOff>
    </xdr:from>
    <xdr:ext cx="962025" cy="0"/>
    <xdr:pic>
      <xdr:nvPicPr>
        <xdr:cNvPr id="417" name="7 Imagen" descr="FTT-250D.JPG">
          <a:extLst>
            <a:ext uri="{FF2B5EF4-FFF2-40B4-BE49-F238E27FC236}">
              <a16:creationId xmlns:a16="http://schemas.microsoft.com/office/drawing/2014/main" id="{86366F30-D067-44EC-89CB-2186D64AB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815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19</xdr:row>
      <xdr:rowOff>0</xdr:rowOff>
    </xdr:from>
    <xdr:ext cx="1009650" cy="0"/>
    <xdr:pic>
      <xdr:nvPicPr>
        <xdr:cNvPr id="418" name="8 Imagen" descr="FTT-250I.JPG">
          <a:extLst>
            <a:ext uri="{FF2B5EF4-FFF2-40B4-BE49-F238E27FC236}">
              <a16:creationId xmlns:a16="http://schemas.microsoft.com/office/drawing/2014/main" id="{545835F2-1104-433C-8FD1-B49F59B31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815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419" name="AutoShape 4" descr="http://www.cristaleriasmartinez.com.mx/img/THUSLRCF0860.jpg">
          <a:extLst>
            <a:ext uri="{FF2B5EF4-FFF2-40B4-BE49-F238E27FC236}">
              <a16:creationId xmlns:a16="http://schemas.microsoft.com/office/drawing/2014/main" id="{E805B7F8-0056-46A6-8570-075AC3BB2FF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420" name="AutoShape 4" descr="http://www.cristaleriasmartinez.com.mx/img/THUSLRCF0860.jpg">
          <a:extLst>
            <a:ext uri="{FF2B5EF4-FFF2-40B4-BE49-F238E27FC236}">
              <a16:creationId xmlns:a16="http://schemas.microsoft.com/office/drawing/2014/main" id="{159C5CE6-CDCC-44AA-ABE6-B8E91B722B4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2752725</xdr:colOff>
      <xdr:row>19</xdr:row>
      <xdr:rowOff>0</xdr:rowOff>
    </xdr:from>
    <xdr:ext cx="962025" cy="0"/>
    <xdr:pic>
      <xdr:nvPicPr>
        <xdr:cNvPr id="421" name="7 Imagen" descr="FTT-250D.JPG">
          <a:extLst>
            <a:ext uri="{FF2B5EF4-FFF2-40B4-BE49-F238E27FC236}">
              <a16:creationId xmlns:a16="http://schemas.microsoft.com/office/drawing/2014/main" id="{8512CDD0-F443-4DA3-BD7E-28A13DE66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815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19</xdr:row>
      <xdr:rowOff>0</xdr:rowOff>
    </xdr:from>
    <xdr:ext cx="1009650" cy="0"/>
    <xdr:pic>
      <xdr:nvPicPr>
        <xdr:cNvPr id="422" name="8 Imagen" descr="FTT-250I.JPG">
          <a:extLst>
            <a:ext uri="{FF2B5EF4-FFF2-40B4-BE49-F238E27FC236}">
              <a16:creationId xmlns:a16="http://schemas.microsoft.com/office/drawing/2014/main" id="{853C053E-8A78-4766-930D-83B80520A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815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19</xdr:row>
      <xdr:rowOff>0</xdr:rowOff>
    </xdr:from>
    <xdr:ext cx="962025" cy="0"/>
    <xdr:pic>
      <xdr:nvPicPr>
        <xdr:cNvPr id="423" name="7 Imagen" descr="FTT-250D.JPG">
          <a:extLst>
            <a:ext uri="{FF2B5EF4-FFF2-40B4-BE49-F238E27FC236}">
              <a16:creationId xmlns:a16="http://schemas.microsoft.com/office/drawing/2014/main" id="{2132201F-47BF-4A13-8DC6-E7A3AD4A0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815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19</xdr:row>
      <xdr:rowOff>0</xdr:rowOff>
    </xdr:from>
    <xdr:ext cx="1009650" cy="0"/>
    <xdr:pic>
      <xdr:nvPicPr>
        <xdr:cNvPr id="424" name="8 Imagen" descr="FTT-250I.JPG">
          <a:extLst>
            <a:ext uri="{FF2B5EF4-FFF2-40B4-BE49-F238E27FC236}">
              <a16:creationId xmlns:a16="http://schemas.microsoft.com/office/drawing/2014/main" id="{DE18CF56-38FB-4354-8BB2-C63224079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815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425" name="AutoShape 4" descr="http://www.cristaleriasmartinez.com.mx/img/THUSLRCF0860.jpg">
          <a:extLst>
            <a:ext uri="{FF2B5EF4-FFF2-40B4-BE49-F238E27FC236}">
              <a16:creationId xmlns:a16="http://schemas.microsoft.com/office/drawing/2014/main" id="{641E85BD-B738-4904-A43C-EEF98651398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426" name="AutoShape 4" descr="http://www.cristaleriasmartinez.com.mx/img/THUSLRCF0860.jpg">
          <a:extLst>
            <a:ext uri="{FF2B5EF4-FFF2-40B4-BE49-F238E27FC236}">
              <a16:creationId xmlns:a16="http://schemas.microsoft.com/office/drawing/2014/main" id="{5E714F1B-5858-4084-B394-54BC58D2B68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2752725</xdr:colOff>
      <xdr:row>19</xdr:row>
      <xdr:rowOff>0</xdr:rowOff>
    </xdr:from>
    <xdr:ext cx="962025" cy="0"/>
    <xdr:pic>
      <xdr:nvPicPr>
        <xdr:cNvPr id="427" name="7 Imagen" descr="FTT-250D.JPG">
          <a:extLst>
            <a:ext uri="{FF2B5EF4-FFF2-40B4-BE49-F238E27FC236}">
              <a16:creationId xmlns:a16="http://schemas.microsoft.com/office/drawing/2014/main" id="{79B8FE86-922D-47CD-9268-640DD3A74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815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19</xdr:row>
      <xdr:rowOff>0</xdr:rowOff>
    </xdr:from>
    <xdr:ext cx="1009650" cy="0"/>
    <xdr:pic>
      <xdr:nvPicPr>
        <xdr:cNvPr id="428" name="8 Imagen" descr="FTT-250I.JPG">
          <a:extLst>
            <a:ext uri="{FF2B5EF4-FFF2-40B4-BE49-F238E27FC236}">
              <a16:creationId xmlns:a16="http://schemas.microsoft.com/office/drawing/2014/main" id="{856F8626-0632-4056-A650-B2C99F865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815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19</xdr:row>
      <xdr:rowOff>0</xdr:rowOff>
    </xdr:from>
    <xdr:ext cx="962025" cy="0"/>
    <xdr:pic>
      <xdr:nvPicPr>
        <xdr:cNvPr id="429" name="7 Imagen" descr="FTT-250D.JPG">
          <a:extLst>
            <a:ext uri="{FF2B5EF4-FFF2-40B4-BE49-F238E27FC236}">
              <a16:creationId xmlns:a16="http://schemas.microsoft.com/office/drawing/2014/main" id="{28E5C697-9932-49B0-9197-ED14A6E67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815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19</xdr:row>
      <xdr:rowOff>0</xdr:rowOff>
    </xdr:from>
    <xdr:ext cx="1009650" cy="0"/>
    <xdr:pic>
      <xdr:nvPicPr>
        <xdr:cNvPr id="430" name="8 Imagen" descr="FTT-250I.JPG">
          <a:extLst>
            <a:ext uri="{FF2B5EF4-FFF2-40B4-BE49-F238E27FC236}">
              <a16:creationId xmlns:a16="http://schemas.microsoft.com/office/drawing/2014/main" id="{4CC8D025-2493-4EA4-82B5-50CD59394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815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431" name="AutoShape 4" descr="http://www.cristaleriasmartinez.com.mx/img/THUSLRCF0860.jpg">
          <a:extLst>
            <a:ext uri="{FF2B5EF4-FFF2-40B4-BE49-F238E27FC236}">
              <a16:creationId xmlns:a16="http://schemas.microsoft.com/office/drawing/2014/main" id="{9242EA90-C52C-4AB2-B818-865F311B46F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19</xdr:row>
      <xdr:rowOff>0</xdr:rowOff>
    </xdr:from>
    <xdr:ext cx="758825" cy="186267"/>
    <xdr:sp macro="" textlink="">
      <xdr:nvSpPr>
        <xdr:cNvPr id="432" name="AutoShape 4" descr="http://www.cristaleriasmartinez.com.mx/img/THUSLRCF0860.jpg">
          <a:extLst>
            <a:ext uri="{FF2B5EF4-FFF2-40B4-BE49-F238E27FC236}">
              <a16:creationId xmlns:a16="http://schemas.microsoft.com/office/drawing/2014/main" id="{B07428B8-1C4B-405C-9E83-799295B643D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435" name="AutoShape 4" descr="http://www.cristaleriasmartinez.com.mx/img/THUSLRCF0860.jpg">
          <a:extLst>
            <a:ext uri="{FF2B5EF4-FFF2-40B4-BE49-F238E27FC236}">
              <a16:creationId xmlns:a16="http://schemas.microsoft.com/office/drawing/2014/main" id="{AC130D9E-5351-4A25-A3D4-CE69F3CF7A7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436" name="AutoShape 4" descr="http://www.cristaleriasmartinez.com.mx/img/THUSLRCF0860.jpg">
          <a:extLst>
            <a:ext uri="{FF2B5EF4-FFF2-40B4-BE49-F238E27FC236}">
              <a16:creationId xmlns:a16="http://schemas.microsoft.com/office/drawing/2014/main" id="{E8768003-238A-431E-921A-095B850DD99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437" name="AutoShape 4" descr="http://www.cristaleriasmartinez.com.mx/img/THUSLRCF0860.jpg">
          <a:extLst>
            <a:ext uri="{FF2B5EF4-FFF2-40B4-BE49-F238E27FC236}">
              <a16:creationId xmlns:a16="http://schemas.microsoft.com/office/drawing/2014/main" id="{8BA26887-41D0-4ADC-8D1C-A16B212291A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438" name="AutoShape 4" descr="http://www.cristaleriasmartinez.com.mx/img/THUSLRCF0860.jpg">
          <a:extLst>
            <a:ext uri="{FF2B5EF4-FFF2-40B4-BE49-F238E27FC236}">
              <a16:creationId xmlns:a16="http://schemas.microsoft.com/office/drawing/2014/main" id="{25E066F5-36A3-4705-843D-C356E431385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439" name="AutoShape 4" descr="http://www.cristaleriasmartinez.com.mx/img/THUSLRCF0860.jpg">
          <a:extLst>
            <a:ext uri="{FF2B5EF4-FFF2-40B4-BE49-F238E27FC236}">
              <a16:creationId xmlns:a16="http://schemas.microsoft.com/office/drawing/2014/main" id="{F1282E07-A23A-4F80-BD5C-D954408E3FB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440" name="AutoShape 4" descr="http://www.cristaleriasmartinez.com.mx/img/THUSLRCF0860.jpg">
          <a:extLst>
            <a:ext uri="{FF2B5EF4-FFF2-40B4-BE49-F238E27FC236}">
              <a16:creationId xmlns:a16="http://schemas.microsoft.com/office/drawing/2014/main" id="{3011525D-6BFE-4454-A033-C9C1C41B690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441" name="AutoShape 4" descr="http://www.cristaleriasmartinez.com.mx/img/THUSLRCF0860.jpg">
          <a:extLst>
            <a:ext uri="{FF2B5EF4-FFF2-40B4-BE49-F238E27FC236}">
              <a16:creationId xmlns:a16="http://schemas.microsoft.com/office/drawing/2014/main" id="{DD30C746-F9F6-4337-A3CA-753F2100AF0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442" name="AutoShape 4" descr="http://www.cristaleriasmartinez.com.mx/img/THUSLRCF0860.jpg">
          <a:extLst>
            <a:ext uri="{FF2B5EF4-FFF2-40B4-BE49-F238E27FC236}">
              <a16:creationId xmlns:a16="http://schemas.microsoft.com/office/drawing/2014/main" id="{BE77CDE4-CFCB-4906-BF0A-0F5EF21D27B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443" name="AutoShape 4" descr="http://www.cristaleriasmartinez.com.mx/img/THUSLRCF0860.jpg">
          <a:extLst>
            <a:ext uri="{FF2B5EF4-FFF2-40B4-BE49-F238E27FC236}">
              <a16:creationId xmlns:a16="http://schemas.microsoft.com/office/drawing/2014/main" id="{CB7F4E08-1211-4C89-9168-8967B41085B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444" name="AutoShape 4" descr="http://www.cristaleriasmartinez.com.mx/img/THUSLRCF0860.jpg">
          <a:extLst>
            <a:ext uri="{FF2B5EF4-FFF2-40B4-BE49-F238E27FC236}">
              <a16:creationId xmlns:a16="http://schemas.microsoft.com/office/drawing/2014/main" id="{0FE03C02-889F-4BAB-B4F3-C14641BDE89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445" name="AutoShape 4" descr="http://www.cristaleriasmartinez.com.mx/img/THUSLRCF0860.jpg">
          <a:extLst>
            <a:ext uri="{FF2B5EF4-FFF2-40B4-BE49-F238E27FC236}">
              <a16:creationId xmlns:a16="http://schemas.microsoft.com/office/drawing/2014/main" id="{5A15E10D-A81E-4546-AF63-84548C29E75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446" name="AutoShape 4" descr="http://www.cristaleriasmartinez.com.mx/img/THUSLRCF0860.jpg">
          <a:extLst>
            <a:ext uri="{FF2B5EF4-FFF2-40B4-BE49-F238E27FC236}">
              <a16:creationId xmlns:a16="http://schemas.microsoft.com/office/drawing/2014/main" id="{B38E062E-CE59-4066-8ABC-BD201B08EDC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447" name="AutoShape 4" descr="http://www.cristaleriasmartinez.com.mx/img/THUSLRCF0860.jpg">
          <a:extLst>
            <a:ext uri="{FF2B5EF4-FFF2-40B4-BE49-F238E27FC236}">
              <a16:creationId xmlns:a16="http://schemas.microsoft.com/office/drawing/2014/main" id="{2FB06D36-9642-4016-88BE-985A6378567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448" name="AutoShape 4" descr="http://www.cristaleriasmartinez.com.mx/img/THUSLRCF0860.jpg">
          <a:extLst>
            <a:ext uri="{FF2B5EF4-FFF2-40B4-BE49-F238E27FC236}">
              <a16:creationId xmlns:a16="http://schemas.microsoft.com/office/drawing/2014/main" id="{A1960788-24D8-4174-A5B9-93DE762614F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449" name="AutoShape 4" descr="http://www.cristaleriasmartinez.com.mx/img/THUSLRCF0860.jpg">
          <a:extLst>
            <a:ext uri="{FF2B5EF4-FFF2-40B4-BE49-F238E27FC236}">
              <a16:creationId xmlns:a16="http://schemas.microsoft.com/office/drawing/2014/main" id="{723DCA39-F0AD-4B05-AD21-E65D51A3EA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450" name="AutoShape 4" descr="http://www.cristaleriasmartinez.com.mx/img/THUSLRCF0860.jpg">
          <a:extLst>
            <a:ext uri="{FF2B5EF4-FFF2-40B4-BE49-F238E27FC236}">
              <a16:creationId xmlns:a16="http://schemas.microsoft.com/office/drawing/2014/main" id="{F93D5FD0-E2B7-4AC6-9C9D-7D8D33C8C71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452" name="7 Imagen" descr="FTT-250D.JPG">
          <a:extLst>
            <a:ext uri="{FF2B5EF4-FFF2-40B4-BE49-F238E27FC236}">
              <a16:creationId xmlns:a16="http://schemas.microsoft.com/office/drawing/2014/main" id="{4176F924-E6E8-4195-9DA9-E185D4966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453" name="8 Imagen" descr="FTT-250I.JPG">
          <a:extLst>
            <a:ext uri="{FF2B5EF4-FFF2-40B4-BE49-F238E27FC236}">
              <a16:creationId xmlns:a16="http://schemas.microsoft.com/office/drawing/2014/main" id="{7DAE0893-0AD4-4CC1-A181-8E9B3B823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454" name="7 Imagen" descr="FTT-250D.JPG">
          <a:extLst>
            <a:ext uri="{FF2B5EF4-FFF2-40B4-BE49-F238E27FC236}">
              <a16:creationId xmlns:a16="http://schemas.microsoft.com/office/drawing/2014/main" id="{79A5657F-5894-44A8-BD68-F8F08D25C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455" name="8 Imagen" descr="FTT-250I.JPG">
          <a:extLst>
            <a:ext uri="{FF2B5EF4-FFF2-40B4-BE49-F238E27FC236}">
              <a16:creationId xmlns:a16="http://schemas.microsoft.com/office/drawing/2014/main" id="{E6B45681-0BAB-4DE4-8C6B-1858D53E8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456" name="AutoShape 4" descr="http://www.cristaleriasmartinez.com.mx/img/THUSLRCF0860.jpg">
          <a:extLst>
            <a:ext uri="{FF2B5EF4-FFF2-40B4-BE49-F238E27FC236}">
              <a16:creationId xmlns:a16="http://schemas.microsoft.com/office/drawing/2014/main" id="{E3BCB57A-442C-4F35-A968-745B7568856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457" name="AutoShape 4" descr="http://www.cristaleriasmartinez.com.mx/img/THUSLRCF0860.jpg">
          <a:extLst>
            <a:ext uri="{FF2B5EF4-FFF2-40B4-BE49-F238E27FC236}">
              <a16:creationId xmlns:a16="http://schemas.microsoft.com/office/drawing/2014/main" id="{4E4777AE-EC90-467C-A035-B99CF39100D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458" name="7 Imagen" descr="FTT-250D.JPG">
          <a:extLst>
            <a:ext uri="{FF2B5EF4-FFF2-40B4-BE49-F238E27FC236}">
              <a16:creationId xmlns:a16="http://schemas.microsoft.com/office/drawing/2014/main" id="{4369D0F2-3B0D-4382-ACCB-884742AD8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459" name="8 Imagen" descr="FTT-250I.JPG">
          <a:extLst>
            <a:ext uri="{FF2B5EF4-FFF2-40B4-BE49-F238E27FC236}">
              <a16:creationId xmlns:a16="http://schemas.microsoft.com/office/drawing/2014/main" id="{01ABC1DF-E95F-45DF-98A0-339A72B00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460" name="7 Imagen" descr="FTT-250D.JPG">
          <a:extLst>
            <a:ext uri="{FF2B5EF4-FFF2-40B4-BE49-F238E27FC236}">
              <a16:creationId xmlns:a16="http://schemas.microsoft.com/office/drawing/2014/main" id="{FEF1FE87-56D0-4A2F-A1AE-FA5A649C3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461" name="8 Imagen" descr="FTT-250I.JPG">
          <a:extLst>
            <a:ext uri="{FF2B5EF4-FFF2-40B4-BE49-F238E27FC236}">
              <a16:creationId xmlns:a16="http://schemas.microsoft.com/office/drawing/2014/main" id="{8430A133-ABA7-49B2-BEC8-2BE7AD34A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462" name="AutoShape 4" descr="http://www.cristaleriasmartinez.com.mx/img/THUSLRCF0860.jpg">
          <a:extLst>
            <a:ext uri="{FF2B5EF4-FFF2-40B4-BE49-F238E27FC236}">
              <a16:creationId xmlns:a16="http://schemas.microsoft.com/office/drawing/2014/main" id="{48F49092-D19F-4BFB-A2DF-29D73999F51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463" name="AutoShape 4" descr="http://www.cristaleriasmartinez.com.mx/img/THUSLRCF0860.jpg">
          <a:extLst>
            <a:ext uri="{FF2B5EF4-FFF2-40B4-BE49-F238E27FC236}">
              <a16:creationId xmlns:a16="http://schemas.microsoft.com/office/drawing/2014/main" id="{7B8EF1C8-C709-4AD0-AF64-8BFA8330FEA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464" name="7 Imagen" descr="FTT-250D.JPG">
          <a:extLst>
            <a:ext uri="{FF2B5EF4-FFF2-40B4-BE49-F238E27FC236}">
              <a16:creationId xmlns:a16="http://schemas.microsoft.com/office/drawing/2014/main" id="{23BD879F-7BCC-48FB-A552-61C0D504A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465" name="8 Imagen" descr="FTT-250I.JPG">
          <a:extLst>
            <a:ext uri="{FF2B5EF4-FFF2-40B4-BE49-F238E27FC236}">
              <a16:creationId xmlns:a16="http://schemas.microsoft.com/office/drawing/2014/main" id="{8F56DE88-2877-4DAD-B159-784BA6381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466" name="7 Imagen" descr="FTT-250D.JPG">
          <a:extLst>
            <a:ext uri="{FF2B5EF4-FFF2-40B4-BE49-F238E27FC236}">
              <a16:creationId xmlns:a16="http://schemas.microsoft.com/office/drawing/2014/main" id="{F9FDB221-34C3-4A89-990A-D81894EA3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467" name="8 Imagen" descr="FTT-250I.JPG">
          <a:extLst>
            <a:ext uri="{FF2B5EF4-FFF2-40B4-BE49-F238E27FC236}">
              <a16:creationId xmlns:a16="http://schemas.microsoft.com/office/drawing/2014/main" id="{B0049C05-0216-42BB-9F37-DDE386CA9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468" name="AutoShape 4" descr="http://www.cristaleriasmartinez.com.mx/img/THUSLRCF0860.jpg">
          <a:extLst>
            <a:ext uri="{FF2B5EF4-FFF2-40B4-BE49-F238E27FC236}">
              <a16:creationId xmlns:a16="http://schemas.microsoft.com/office/drawing/2014/main" id="{D044754C-F163-4904-8015-CC3A8ED4227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469" name="AutoShape 4" descr="http://www.cristaleriasmartinez.com.mx/img/THUSLRCF0860.jpg">
          <a:extLst>
            <a:ext uri="{FF2B5EF4-FFF2-40B4-BE49-F238E27FC236}">
              <a16:creationId xmlns:a16="http://schemas.microsoft.com/office/drawing/2014/main" id="{D118DBF2-497A-4BA0-9CEF-E8F83B97238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470" name="7 Imagen" descr="FTT-250D.JPG">
          <a:extLst>
            <a:ext uri="{FF2B5EF4-FFF2-40B4-BE49-F238E27FC236}">
              <a16:creationId xmlns:a16="http://schemas.microsoft.com/office/drawing/2014/main" id="{FF65FAAD-A283-4313-BBFA-6D15369BE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471" name="8 Imagen" descr="FTT-250I.JPG">
          <a:extLst>
            <a:ext uri="{FF2B5EF4-FFF2-40B4-BE49-F238E27FC236}">
              <a16:creationId xmlns:a16="http://schemas.microsoft.com/office/drawing/2014/main" id="{CC1BAA75-11FB-42BD-B919-5A4C3A406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472" name="7 Imagen" descr="FTT-250D.JPG">
          <a:extLst>
            <a:ext uri="{FF2B5EF4-FFF2-40B4-BE49-F238E27FC236}">
              <a16:creationId xmlns:a16="http://schemas.microsoft.com/office/drawing/2014/main" id="{F7821F2F-541A-4B81-837B-653B8D897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473" name="8 Imagen" descr="FTT-250I.JPG">
          <a:extLst>
            <a:ext uri="{FF2B5EF4-FFF2-40B4-BE49-F238E27FC236}">
              <a16:creationId xmlns:a16="http://schemas.microsoft.com/office/drawing/2014/main" id="{4A5B489D-880C-4E75-8D7D-D53711DD7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474" name="AutoShape 4" descr="http://www.cristaleriasmartinez.com.mx/img/THUSLRCF0860.jpg">
          <a:extLst>
            <a:ext uri="{FF2B5EF4-FFF2-40B4-BE49-F238E27FC236}">
              <a16:creationId xmlns:a16="http://schemas.microsoft.com/office/drawing/2014/main" id="{198FEDFA-1250-4D99-B5B5-D94E257AD94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475" name="AutoShape 4" descr="http://www.cristaleriasmartinez.com.mx/img/THUSLRCF0860.jpg">
          <a:extLst>
            <a:ext uri="{FF2B5EF4-FFF2-40B4-BE49-F238E27FC236}">
              <a16:creationId xmlns:a16="http://schemas.microsoft.com/office/drawing/2014/main" id="{F55E9C6C-834B-4B35-90BC-E7BE2A273C5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476" name="7 Imagen" descr="FTT-250D.JPG">
          <a:extLst>
            <a:ext uri="{FF2B5EF4-FFF2-40B4-BE49-F238E27FC236}">
              <a16:creationId xmlns:a16="http://schemas.microsoft.com/office/drawing/2014/main" id="{0B239253-0E88-4DBF-945B-B7B5F43D6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477" name="8 Imagen" descr="FTT-250I.JPG">
          <a:extLst>
            <a:ext uri="{FF2B5EF4-FFF2-40B4-BE49-F238E27FC236}">
              <a16:creationId xmlns:a16="http://schemas.microsoft.com/office/drawing/2014/main" id="{42513B42-9737-4D9B-AF6E-244B489C6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478" name="7 Imagen" descr="FTT-250D.JPG">
          <a:extLst>
            <a:ext uri="{FF2B5EF4-FFF2-40B4-BE49-F238E27FC236}">
              <a16:creationId xmlns:a16="http://schemas.microsoft.com/office/drawing/2014/main" id="{BAC477C3-1B37-4456-B63E-6D0CB242C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479" name="8 Imagen" descr="FTT-250I.JPG">
          <a:extLst>
            <a:ext uri="{FF2B5EF4-FFF2-40B4-BE49-F238E27FC236}">
              <a16:creationId xmlns:a16="http://schemas.microsoft.com/office/drawing/2014/main" id="{4586A4A9-42F1-42EC-BA91-0893186F5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480" name="AutoShape 4" descr="http://www.cristaleriasmartinez.com.mx/img/THUSLRCF0860.jpg">
          <a:extLst>
            <a:ext uri="{FF2B5EF4-FFF2-40B4-BE49-F238E27FC236}">
              <a16:creationId xmlns:a16="http://schemas.microsoft.com/office/drawing/2014/main" id="{CCA19900-9D61-4A9D-A77E-4F602619BA6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481" name="AutoShape 4" descr="http://www.cristaleriasmartinez.com.mx/img/THUSLRCF0860.jpg">
          <a:extLst>
            <a:ext uri="{FF2B5EF4-FFF2-40B4-BE49-F238E27FC236}">
              <a16:creationId xmlns:a16="http://schemas.microsoft.com/office/drawing/2014/main" id="{CE0DE1AE-2483-47D9-BE95-1661DDC5804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482" name="7 Imagen" descr="FTT-250D.JPG">
          <a:extLst>
            <a:ext uri="{FF2B5EF4-FFF2-40B4-BE49-F238E27FC236}">
              <a16:creationId xmlns:a16="http://schemas.microsoft.com/office/drawing/2014/main" id="{C51BC6BF-87CD-48E9-855F-D0BD7CDD0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483" name="8 Imagen" descr="FTT-250I.JPG">
          <a:extLst>
            <a:ext uri="{FF2B5EF4-FFF2-40B4-BE49-F238E27FC236}">
              <a16:creationId xmlns:a16="http://schemas.microsoft.com/office/drawing/2014/main" id="{E2F2C169-4156-49BF-9C2E-D08F9D047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484" name="7 Imagen" descr="FTT-250D.JPG">
          <a:extLst>
            <a:ext uri="{FF2B5EF4-FFF2-40B4-BE49-F238E27FC236}">
              <a16:creationId xmlns:a16="http://schemas.microsoft.com/office/drawing/2014/main" id="{8B64881F-5355-4A65-BCDB-B3805005C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485" name="8 Imagen" descr="FTT-250I.JPG">
          <a:extLst>
            <a:ext uri="{FF2B5EF4-FFF2-40B4-BE49-F238E27FC236}">
              <a16:creationId xmlns:a16="http://schemas.microsoft.com/office/drawing/2014/main" id="{3F217F45-B8AE-47AD-84A1-02C7B6674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486" name="AutoShape 4" descr="http://www.cristaleriasmartinez.com.mx/img/THUSLRCF0860.jpg">
          <a:extLst>
            <a:ext uri="{FF2B5EF4-FFF2-40B4-BE49-F238E27FC236}">
              <a16:creationId xmlns:a16="http://schemas.microsoft.com/office/drawing/2014/main" id="{5D162043-E1FF-4D4D-9E08-53CDD29EBE3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487" name="AutoShape 4" descr="http://www.cristaleriasmartinez.com.mx/img/THUSLRCF0860.jpg">
          <a:extLst>
            <a:ext uri="{FF2B5EF4-FFF2-40B4-BE49-F238E27FC236}">
              <a16:creationId xmlns:a16="http://schemas.microsoft.com/office/drawing/2014/main" id="{EC179D76-FD7C-4A13-A4BB-5FC60D0F9C7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488" name="7 Imagen" descr="FTT-250D.JPG">
          <a:extLst>
            <a:ext uri="{FF2B5EF4-FFF2-40B4-BE49-F238E27FC236}">
              <a16:creationId xmlns:a16="http://schemas.microsoft.com/office/drawing/2014/main" id="{53B2CEB0-428B-4D17-BA0C-D1ECAB32F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489" name="8 Imagen" descr="FTT-250I.JPG">
          <a:extLst>
            <a:ext uri="{FF2B5EF4-FFF2-40B4-BE49-F238E27FC236}">
              <a16:creationId xmlns:a16="http://schemas.microsoft.com/office/drawing/2014/main" id="{42E8E22D-B93B-4908-9004-9492C5458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490" name="7 Imagen" descr="FTT-250D.JPG">
          <a:extLst>
            <a:ext uri="{FF2B5EF4-FFF2-40B4-BE49-F238E27FC236}">
              <a16:creationId xmlns:a16="http://schemas.microsoft.com/office/drawing/2014/main" id="{7780656A-5D13-4FC5-A16E-6222F7F3A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491" name="8 Imagen" descr="FTT-250I.JPG">
          <a:extLst>
            <a:ext uri="{FF2B5EF4-FFF2-40B4-BE49-F238E27FC236}">
              <a16:creationId xmlns:a16="http://schemas.microsoft.com/office/drawing/2014/main" id="{6CDB28C2-EAAA-46B9-9049-F0EC1B963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492" name="AutoShape 4" descr="http://www.cristaleriasmartinez.com.mx/img/THUSLRCF0860.jpg">
          <a:extLst>
            <a:ext uri="{FF2B5EF4-FFF2-40B4-BE49-F238E27FC236}">
              <a16:creationId xmlns:a16="http://schemas.microsoft.com/office/drawing/2014/main" id="{AC834B92-965E-4340-BE28-6601ADE1B31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493" name="AutoShape 4" descr="http://www.cristaleriasmartinez.com.mx/img/THUSLRCF0860.jpg">
          <a:extLst>
            <a:ext uri="{FF2B5EF4-FFF2-40B4-BE49-F238E27FC236}">
              <a16:creationId xmlns:a16="http://schemas.microsoft.com/office/drawing/2014/main" id="{D5219277-8284-4402-8BC6-64208BA4991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494" name="7 Imagen" descr="FTT-250D.JPG">
          <a:extLst>
            <a:ext uri="{FF2B5EF4-FFF2-40B4-BE49-F238E27FC236}">
              <a16:creationId xmlns:a16="http://schemas.microsoft.com/office/drawing/2014/main" id="{66BBD86F-5518-4E13-A6E3-54CB20651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495" name="8 Imagen" descr="FTT-250I.JPG">
          <a:extLst>
            <a:ext uri="{FF2B5EF4-FFF2-40B4-BE49-F238E27FC236}">
              <a16:creationId xmlns:a16="http://schemas.microsoft.com/office/drawing/2014/main" id="{0A76954F-11F3-45D8-96D2-7DBD3E78B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496" name="7 Imagen" descr="FTT-250D.JPG">
          <a:extLst>
            <a:ext uri="{FF2B5EF4-FFF2-40B4-BE49-F238E27FC236}">
              <a16:creationId xmlns:a16="http://schemas.microsoft.com/office/drawing/2014/main" id="{F3E3ABC8-3903-471A-A978-F2E2F6BE6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497" name="8 Imagen" descr="FTT-250I.JPG">
          <a:extLst>
            <a:ext uri="{FF2B5EF4-FFF2-40B4-BE49-F238E27FC236}">
              <a16:creationId xmlns:a16="http://schemas.microsoft.com/office/drawing/2014/main" id="{7DCB251A-247C-40E8-BB79-E835C89A6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498" name="AutoShape 4" descr="http://www.cristaleriasmartinez.com.mx/img/THUSLRCF0860.jpg">
          <a:extLst>
            <a:ext uri="{FF2B5EF4-FFF2-40B4-BE49-F238E27FC236}">
              <a16:creationId xmlns:a16="http://schemas.microsoft.com/office/drawing/2014/main" id="{AC72358C-3B2C-4709-8A2B-87D6831CB72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499" name="AutoShape 4" descr="http://www.cristaleriasmartinez.com.mx/img/THUSLRCF0860.jpg">
          <a:extLst>
            <a:ext uri="{FF2B5EF4-FFF2-40B4-BE49-F238E27FC236}">
              <a16:creationId xmlns:a16="http://schemas.microsoft.com/office/drawing/2014/main" id="{1EFBF7AC-D718-40F8-958C-E4AE52A23DE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00" name="AutoShape 4" descr="http://www.cristaleriasmartinez.com.mx/img/THUSLRCF0860.jpg">
          <a:extLst>
            <a:ext uri="{FF2B5EF4-FFF2-40B4-BE49-F238E27FC236}">
              <a16:creationId xmlns:a16="http://schemas.microsoft.com/office/drawing/2014/main" id="{033E8FD2-2190-4AFA-B5B9-502EB82B8E2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01" name="AutoShape 4" descr="http://www.cristaleriasmartinez.com.mx/img/THUSLRCF0860.jpg">
          <a:extLst>
            <a:ext uri="{FF2B5EF4-FFF2-40B4-BE49-F238E27FC236}">
              <a16:creationId xmlns:a16="http://schemas.microsoft.com/office/drawing/2014/main" id="{D34E0189-6180-4711-A681-87E447FD999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02" name="AutoShape 4" descr="http://www.cristaleriasmartinez.com.mx/img/THUSLRCF0860.jpg">
          <a:extLst>
            <a:ext uri="{FF2B5EF4-FFF2-40B4-BE49-F238E27FC236}">
              <a16:creationId xmlns:a16="http://schemas.microsoft.com/office/drawing/2014/main" id="{77460DA5-7DF0-4BC0-BB1B-D7BABA61211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03" name="AutoShape 4" descr="http://www.cristaleriasmartinez.com.mx/img/THUSLRCF0860.jpg">
          <a:extLst>
            <a:ext uri="{FF2B5EF4-FFF2-40B4-BE49-F238E27FC236}">
              <a16:creationId xmlns:a16="http://schemas.microsoft.com/office/drawing/2014/main" id="{F0A79096-6051-4127-A573-CBDA14298A3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04" name="AutoShape 4" descr="http://www.cristaleriasmartinez.com.mx/img/THUSLRCF0860.jpg">
          <a:extLst>
            <a:ext uri="{FF2B5EF4-FFF2-40B4-BE49-F238E27FC236}">
              <a16:creationId xmlns:a16="http://schemas.microsoft.com/office/drawing/2014/main" id="{44F97D79-C45B-4753-9687-B7D6DA20840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05" name="AutoShape 4" descr="http://www.cristaleriasmartinez.com.mx/img/THUSLRCF0860.jpg">
          <a:extLst>
            <a:ext uri="{FF2B5EF4-FFF2-40B4-BE49-F238E27FC236}">
              <a16:creationId xmlns:a16="http://schemas.microsoft.com/office/drawing/2014/main" id="{78FD44D1-D4A5-46B4-8503-5B311132AF0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06" name="AutoShape 4" descr="http://www.cristaleriasmartinez.com.mx/img/THUSLRCF0860.jpg">
          <a:extLst>
            <a:ext uri="{FF2B5EF4-FFF2-40B4-BE49-F238E27FC236}">
              <a16:creationId xmlns:a16="http://schemas.microsoft.com/office/drawing/2014/main" id="{71BC515E-EF7D-42CD-9DD9-97BB3F707A9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07" name="AutoShape 4" descr="http://www.cristaleriasmartinez.com.mx/img/THUSLRCF0860.jpg">
          <a:extLst>
            <a:ext uri="{FF2B5EF4-FFF2-40B4-BE49-F238E27FC236}">
              <a16:creationId xmlns:a16="http://schemas.microsoft.com/office/drawing/2014/main" id="{ED7C515B-C7F9-4E29-B7DE-00FECCBD038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08" name="AutoShape 4" descr="http://www.cristaleriasmartinez.com.mx/img/THUSLRCF0860.jpg">
          <a:extLst>
            <a:ext uri="{FF2B5EF4-FFF2-40B4-BE49-F238E27FC236}">
              <a16:creationId xmlns:a16="http://schemas.microsoft.com/office/drawing/2014/main" id="{284ADB4A-ACA8-41D9-A485-B8C24C27E58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09" name="AutoShape 4" descr="http://www.cristaleriasmartinez.com.mx/img/THUSLRCF0860.jpg">
          <a:extLst>
            <a:ext uri="{FF2B5EF4-FFF2-40B4-BE49-F238E27FC236}">
              <a16:creationId xmlns:a16="http://schemas.microsoft.com/office/drawing/2014/main" id="{08BCF045-42BC-4055-9E8C-C8940F0A2EA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10" name="AutoShape 4" descr="http://www.cristaleriasmartinez.com.mx/img/THUSLRCF0860.jpg">
          <a:extLst>
            <a:ext uri="{FF2B5EF4-FFF2-40B4-BE49-F238E27FC236}">
              <a16:creationId xmlns:a16="http://schemas.microsoft.com/office/drawing/2014/main" id="{5AD6920A-CC38-474E-8932-7289774073E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11" name="AutoShape 4" descr="http://www.cristaleriasmartinez.com.mx/img/THUSLRCF0860.jpg">
          <a:extLst>
            <a:ext uri="{FF2B5EF4-FFF2-40B4-BE49-F238E27FC236}">
              <a16:creationId xmlns:a16="http://schemas.microsoft.com/office/drawing/2014/main" id="{C149ACAA-2591-4C90-B28B-C5A310FC3FB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12" name="AutoShape 4" descr="http://www.cristaleriasmartinez.com.mx/img/THUSLRCF0860.jpg">
          <a:extLst>
            <a:ext uri="{FF2B5EF4-FFF2-40B4-BE49-F238E27FC236}">
              <a16:creationId xmlns:a16="http://schemas.microsoft.com/office/drawing/2014/main" id="{C9B1BADB-63BF-4385-81F9-D894585B9E5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13" name="AutoShape 4" descr="http://www.cristaleriasmartinez.com.mx/img/THUSLRCF0860.jpg">
          <a:extLst>
            <a:ext uri="{FF2B5EF4-FFF2-40B4-BE49-F238E27FC236}">
              <a16:creationId xmlns:a16="http://schemas.microsoft.com/office/drawing/2014/main" id="{951E1FC1-F7F0-4109-ACAF-DE27010377A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14" name="AutoShape 4" descr="http://www.cristaleriasmartinez.com.mx/img/THUSLRCF0860.jpg">
          <a:extLst>
            <a:ext uri="{FF2B5EF4-FFF2-40B4-BE49-F238E27FC236}">
              <a16:creationId xmlns:a16="http://schemas.microsoft.com/office/drawing/2014/main" id="{D3D51B95-3CE6-416C-8FAA-FAC6E0E98C2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15" name="AutoShape 4" descr="http://www.cristaleriasmartinez.com.mx/img/THUSLRCF0860.jpg">
          <a:extLst>
            <a:ext uri="{FF2B5EF4-FFF2-40B4-BE49-F238E27FC236}">
              <a16:creationId xmlns:a16="http://schemas.microsoft.com/office/drawing/2014/main" id="{C843717C-B4D6-4C12-BF79-1854AA0716E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16" name="AutoShape 4" descr="http://www.cristaleriasmartinez.com.mx/img/THUSLRCF0860.jpg">
          <a:extLst>
            <a:ext uri="{FF2B5EF4-FFF2-40B4-BE49-F238E27FC236}">
              <a16:creationId xmlns:a16="http://schemas.microsoft.com/office/drawing/2014/main" id="{0D908E74-7C63-4FD5-8C26-F002970659D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17" name="AutoShape 4" descr="http://www.cristaleriasmartinez.com.mx/img/THUSLRCF0860.jpg">
          <a:extLst>
            <a:ext uri="{FF2B5EF4-FFF2-40B4-BE49-F238E27FC236}">
              <a16:creationId xmlns:a16="http://schemas.microsoft.com/office/drawing/2014/main" id="{EED189E4-2AD0-41F5-BB9A-BADC4DEEE61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18" name="AutoShape 4" descr="http://www.cristaleriasmartinez.com.mx/img/THUSLRCF0860.jpg">
          <a:extLst>
            <a:ext uri="{FF2B5EF4-FFF2-40B4-BE49-F238E27FC236}">
              <a16:creationId xmlns:a16="http://schemas.microsoft.com/office/drawing/2014/main" id="{064654B1-D73C-4DD7-8177-C6431D537DF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19" name="AutoShape 4" descr="http://www.cristaleriasmartinez.com.mx/img/THUSLRCF0860.jpg">
          <a:extLst>
            <a:ext uri="{FF2B5EF4-FFF2-40B4-BE49-F238E27FC236}">
              <a16:creationId xmlns:a16="http://schemas.microsoft.com/office/drawing/2014/main" id="{13B6C592-3A48-4EF7-B1B5-3691CAAAD5B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20" name="AutoShape 4" descr="http://www.cristaleriasmartinez.com.mx/img/THUSLRCF0860.jpg">
          <a:extLst>
            <a:ext uri="{FF2B5EF4-FFF2-40B4-BE49-F238E27FC236}">
              <a16:creationId xmlns:a16="http://schemas.microsoft.com/office/drawing/2014/main" id="{BC83B499-90DF-48C2-B66D-5C2DA4470F4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21" name="AutoShape 4" descr="http://www.cristaleriasmartinez.com.mx/img/THUSLRCF0860.jpg">
          <a:extLst>
            <a:ext uri="{FF2B5EF4-FFF2-40B4-BE49-F238E27FC236}">
              <a16:creationId xmlns:a16="http://schemas.microsoft.com/office/drawing/2014/main" id="{FB1BA2C0-C889-4C96-8131-57C13E3A7EB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22" name="AutoShape 4" descr="http://www.cristaleriasmartinez.com.mx/img/THUSLRCF0860.jpg">
          <a:extLst>
            <a:ext uri="{FF2B5EF4-FFF2-40B4-BE49-F238E27FC236}">
              <a16:creationId xmlns:a16="http://schemas.microsoft.com/office/drawing/2014/main" id="{53A481DE-A970-48D7-80C7-2BF05BE2CE9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23" name="AutoShape 4" descr="http://www.cristaleriasmartinez.com.mx/img/THUSLRCF0860.jpg">
          <a:extLst>
            <a:ext uri="{FF2B5EF4-FFF2-40B4-BE49-F238E27FC236}">
              <a16:creationId xmlns:a16="http://schemas.microsoft.com/office/drawing/2014/main" id="{E6E81A10-679E-4461-852C-FB3FB3B0DEC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24" name="AutoShape 4" descr="http://www.cristaleriasmartinez.com.mx/img/THUSLRCF0860.jpg">
          <a:extLst>
            <a:ext uri="{FF2B5EF4-FFF2-40B4-BE49-F238E27FC236}">
              <a16:creationId xmlns:a16="http://schemas.microsoft.com/office/drawing/2014/main" id="{19F01018-C2EF-4092-95B1-86F4208BDFB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25" name="AutoShape 4" descr="http://www.cristaleriasmartinez.com.mx/img/THUSLRCF0860.jpg">
          <a:extLst>
            <a:ext uri="{FF2B5EF4-FFF2-40B4-BE49-F238E27FC236}">
              <a16:creationId xmlns:a16="http://schemas.microsoft.com/office/drawing/2014/main" id="{5F9CC1E8-0C8F-440D-9CD2-9B5DE4C8F70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26" name="AutoShape 4" descr="http://www.cristaleriasmartinez.com.mx/img/THUSLRCF0860.jpg">
          <a:extLst>
            <a:ext uri="{FF2B5EF4-FFF2-40B4-BE49-F238E27FC236}">
              <a16:creationId xmlns:a16="http://schemas.microsoft.com/office/drawing/2014/main" id="{1E87BB60-46CE-45F8-A0CF-37B1794CFC3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27" name="AutoShape 4" descr="http://www.cristaleriasmartinez.com.mx/img/THUSLRCF0860.jpg">
          <a:extLst>
            <a:ext uri="{FF2B5EF4-FFF2-40B4-BE49-F238E27FC236}">
              <a16:creationId xmlns:a16="http://schemas.microsoft.com/office/drawing/2014/main" id="{6DF378B4-40D9-484A-B67B-6FE2715B9D7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28" name="AutoShape 4" descr="http://www.cristaleriasmartinez.com.mx/img/THUSLRCF0860.jpg">
          <a:extLst>
            <a:ext uri="{FF2B5EF4-FFF2-40B4-BE49-F238E27FC236}">
              <a16:creationId xmlns:a16="http://schemas.microsoft.com/office/drawing/2014/main" id="{25E70779-6C62-4656-A320-A426EDF0118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29" name="AutoShape 4" descr="http://www.cristaleriasmartinez.com.mx/img/THUSLRCF0860.jpg">
          <a:extLst>
            <a:ext uri="{FF2B5EF4-FFF2-40B4-BE49-F238E27FC236}">
              <a16:creationId xmlns:a16="http://schemas.microsoft.com/office/drawing/2014/main" id="{E8B6053A-C5DC-4C70-A560-12D0769A939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30" name="AutoShape 4" descr="http://www.cristaleriasmartinez.com.mx/img/THUSLRCF0860.jpg">
          <a:extLst>
            <a:ext uri="{FF2B5EF4-FFF2-40B4-BE49-F238E27FC236}">
              <a16:creationId xmlns:a16="http://schemas.microsoft.com/office/drawing/2014/main" id="{35994EBD-2B2B-40AE-BBC9-83BFBFD06CC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31" name="AutoShape 4" descr="http://www.cristaleriasmartinez.com.mx/img/THUSLRCF0860.jpg">
          <a:extLst>
            <a:ext uri="{FF2B5EF4-FFF2-40B4-BE49-F238E27FC236}">
              <a16:creationId xmlns:a16="http://schemas.microsoft.com/office/drawing/2014/main" id="{5715AD08-B439-44EF-8A91-AFE02437AAB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532" name="AutoShape 4" descr="http://www.cristaleriasmartinez.com.mx/img/THUSLRCF0860.jpg">
          <a:extLst>
            <a:ext uri="{FF2B5EF4-FFF2-40B4-BE49-F238E27FC236}">
              <a16:creationId xmlns:a16="http://schemas.microsoft.com/office/drawing/2014/main" id="{FA498CDC-B537-46D0-9DFB-5C5BCFCD1C5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533" name="AutoShape 4" descr="http://www.cristaleriasmartinez.com.mx/img/THUSLRCF0860.jpg">
          <a:extLst>
            <a:ext uri="{FF2B5EF4-FFF2-40B4-BE49-F238E27FC236}">
              <a16:creationId xmlns:a16="http://schemas.microsoft.com/office/drawing/2014/main" id="{128DB88A-590F-4FA5-AF3E-8C3B6BAD285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534" name="AutoShape 4" descr="http://www.cristaleriasmartinez.com.mx/img/THUSLRCF0860.jpg">
          <a:extLst>
            <a:ext uri="{FF2B5EF4-FFF2-40B4-BE49-F238E27FC236}">
              <a16:creationId xmlns:a16="http://schemas.microsoft.com/office/drawing/2014/main" id="{D58A2D30-02C5-439D-A00A-F4280CB0A4C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535" name="AutoShape 4" descr="http://www.cristaleriasmartinez.com.mx/img/THUSLRCF0860.jpg">
          <a:extLst>
            <a:ext uri="{FF2B5EF4-FFF2-40B4-BE49-F238E27FC236}">
              <a16:creationId xmlns:a16="http://schemas.microsoft.com/office/drawing/2014/main" id="{02735E60-5117-4CF3-B88A-8A357D3F0C6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536" name="AutoShape 4" descr="http://www.cristaleriasmartinez.com.mx/img/THUSLRCF0860.jpg">
          <a:extLst>
            <a:ext uri="{FF2B5EF4-FFF2-40B4-BE49-F238E27FC236}">
              <a16:creationId xmlns:a16="http://schemas.microsoft.com/office/drawing/2014/main" id="{56DE9DC0-782C-44BB-B1AF-64117AD2961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537" name="AutoShape 4" descr="http://www.cristaleriasmartinez.com.mx/img/THUSLRCF0860.jpg">
          <a:extLst>
            <a:ext uri="{FF2B5EF4-FFF2-40B4-BE49-F238E27FC236}">
              <a16:creationId xmlns:a16="http://schemas.microsoft.com/office/drawing/2014/main" id="{28528B35-4A5E-46F3-88A3-336A1A60EFF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538" name="AutoShape 4" descr="http://www.cristaleriasmartinez.com.mx/img/THUSLRCF0860.jpg">
          <a:extLst>
            <a:ext uri="{FF2B5EF4-FFF2-40B4-BE49-F238E27FC236}">
              <a16:creationId xmlns:a16="http://schemas.microsoft.com/office/drawing/2014/main" id="{21821542-AA34-4694-B384-DA763A5A1BA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539" name="AutoShape 4" descr="http://www.cristaleriasmartinez.com.mx/img/THUSLRCF0860.jpg">
          <a:extLst>
            <a:ext uri="{FF2B5EF4-FFF2-40B4-BE49-F238E27FC236}">
              <a16:creationId xmlns:a16="http://schemas.microsoft.com/office/drawing/2014/main" id="{12CBAEC5-9628-41DF-8235-B499BF6BBC2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540" name="AutoShape 4" descr="http://www.cristaleriasmartinez.com.mx/img/THUSLRCF0860.jpg">
          <a:extLst>
            <a:ext uri="{FF2B5EF4-FFF2-40B4-BE49-F238E27FC236}">
              <a16:creationId xmlns:a16="http://schemas.microsoft.com/office/drawing/2014/main" id="{A7DFB9E6-0929-4412-9778-73E77E442E8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541" name="AutoShape 4" descr="http://www.cristaleriasmartinez.com.mx/img/THUSLRCF0860.jpg">
          <a:extLst>
            <a:ext uri="{FF2B5EF4-FFF2-40B4-BE49-F238E27FC236}">
              <a16:creationId xmlns:a16="http://schemas.microsoft.com/office/drawing/2014/main" id="{8652C4CC-0AD9-4331-B64C-F087F81387D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542" name="AutoShape 4" descr="http://www.cristaleriasmartinez.com.mx/img/THUSLRCF0860.jpg">
          <a:extLst>
            <a:ext uri="{FF2B5EF4-FFF2-40B4-BE49-F238E27FC236}">
              <a16:creationId xmlns:a16="http://schemas.microsoft.com/office/drawing/2014/main" id="{3B1DFF63-0DE0-4410-8FA6-7452EE1F6D7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543" name="AutoShape 4" descr="http://www.cristaleriasmartinez.com.mx/img/THUSLRCF0860.jpg">
          <a:extLst>
            <a:ext uri="{FF2B5EF4-FFF2-40B4-BE49-F238E27FC236}">
              <a16:creationId xmlns:a16="http://schemas.microsoft.com/office/drawing/2014/main" id="{3CFF2DCD-862C-40B8-A0A5-EC5A20C53FE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544" name="AutoShape 4" descr="http://www.cristaleriasmartinez.com.mx/img/THUSLRCF0860.jpg">
          <a:extLst>
            <a:ext uri="{FF2B5EF4-FFF2-40B4-BE49-F238E27FC236}">
              <a16:creationId xmlns:a16="http://schemas.microsoft.com/office/drawing/2014/main" id="{861C5A63-502A-4994-B1D2-36D7A7C65F3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545" name="AutoShape 4" descr="http://www.cristaleriasmartinez.com.mx/img/THUSLRCF0860.jpg">
          <a:extLst>
            <a:ext uri="{FF2B5EF4-FFF2-40B4-BE49-F238E27FC236}">
              <a16:creationId xmlns:a16="http://schemas.microsoft.com/office/drawing/2014/main" id="{15C78674-5868-4EFD-AAA3-F14743A23E1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546" name="AutoShape 4" descr="http://www.cristaleriasmartinez.com.mx/img/THUSLRCF0860.jpg">
          <a:extLst>
            <a:ext uri="{FF2B5EF4-FFF2-40B4-BE49-F238E27FC236}">
              <a16:creationId xmlns:a16="http://schemas.microsoft.com/office/drawing/2014/main" id="{5D466BB6-D872-44BB-83A6-1B0CC06A73D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547" name="AutoShape 4" descr="http://www.cristaleriasmartinez.com.mx/img/THUSLRCF0860.jpg">
          <a:extLst>
            <a:ext uri="{FF2B5EF4-FFF2-40B4-BE49-F238E27FC236}">
              <a16:creationId xmlns:a16="http://schemas.microsoft.com/office/drawing/2014/main" id="{18089675-01C3-4974-85BE-7C2F191B4BB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48" name="AutoShape 4" descr="http://www.cristaleriasmartinez.com.mx/img/THUSLRCF0860.jpg">
          <a:extLst>
            <a:ext uri="{FF2B5EF4-FFF2-40B4-BE49-F238E27FC236}">
              <a16:creationId xmlns:a16="http://schemas.microsoft.com/office/drawing/2014/main" id="{2CF87347-7691-4C2A-9F33-12C3A058E79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49" name="AutoShape 4" descr="http://www.cristaleriasmartinez.com.mx/img/THUSLRCF0860.jpg">
          <a:extLst>
            <a:ext uri="{FF2B5EF4-FFF2-40B4-BE49-F238E27FC236}">
              <a16:creationId xmlns:a16="http://schemas.microsoft.com/office/drawing/2014/main" id="{7D294A25-36E0-4D4D-9C45-52D3E4228A9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50" name="AutoShape 4" descr="http://www.cristaleriasmartinez.com.mx/img/THUSLRCF0860.jpg">
          <a:extLst>
            <a:ext uri="{FF2B5EF4-FFF2-40B4-BE49-F238E27FC236}">
              <a16:creationId xmlns:a16="http://schemas.microsoft.com/office/drawing/2014/main" id="{C87F81B4-7A9D-480A-82F7-780C94F05AF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51" name="AutoShape 4" descr="http://www.cristaleriasmartinez.com.mx/img/THUSLRCF0860.jpg">
          <a:extLst>
            <a:ext uri="{FF2B5EF4-FFF2-40B4-BE49-F238E27FC236}">
              <a16:creationId xmlns:a16="http://schemas.microsoft.com/office/drawing/2014/main" id="{4162078F-F669-4326-9E75-A8873ACF952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52" name="AutoShape 4" descr="http://www.cristaleriasmartinez.com.mx/img/THUSLRCF0860.jpg">
          <a:extLst>
            <a:ext uri="{FF2B5EF4-FFF2-40B4-BE49-F238E27FC236}">
              <a16:creationId xmlns:a16="http://schemas.microsoft.com/office/drawing/2014/main" id="{81D7ECB2-9658-4010-9F5B-343022FA809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53" name="AutoShape 4" descr="http://www.cristaleriasmartinez.com.mx/img/THUSLRCF0860.jpg">
          <a:extLst>
            <a:ext uri="{FF2B5EF4-FFF2-40B4-BE49-F238E27FC236}">
              <a16:creationId xmlns:a16="http://schemas.microsoft.com/office/drawing/2014/main" id="{374A8AAB-53CE-4480-B7F3-5DF52BC8CF9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54" name="AutoShape 4" descr="http://www.cristaleriasmartinez.com.mx/img/THUSLRCF0860.jpg">
          <a:extLst>
            <a:ext uri="{FF2B5EF4-FFF2-40B4-BE49-F238E27FC236}">
              <a16:creationId xmlns:a16="http://schemas.microsoft.com/office/drawing/2014/main" id="{A6F32297-EC44-4605-A7D7-29F34E4A93E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55" name="AutoShape 4" descr="http://www.cristaleriasmartinez.com.mx/img/THUSLRCF0860.jpg">
          <a:extLst>
            <a:ext uri="{FF2B5EF4-FFF2-40B4-BE49-F238E27FC236}">
              <a16:creationId xmlns:a16="http://schemas.microsoft.com/office/drawing/2014/main" id="{D441B51E-543D-41E1-B84D-2950BB4F6F9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56" name="AutoShape 4" descr="http://www.cristaleriasmartinez.com.mx/img/THUSLRCF0860.jpg">
          <a:extLst>
            <a:ext uri="{FF2B5EF4-FFF2-40B4-BE49-F238E27FC236}">
              <a16:creationId xmlns:a16="http://schemas.microsoft.com/office/drawing/2014/main" id="{E1B09EBA-1957-4364-ACDC-7DA2786C3F9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57" name="AutoShape 4" descr="http://www.cristaleriasmartinez.com.mx/img/THUSLRCF0860.jpg">
          <a:extLst>
            <a:ext uri="{FF2B5EF4-FFF2-40B4-BE49-F238E27FC236}">
              <a16:creationId xmlns:a16="http://schemas.microsoft.com/office/drawing/2014/main" id="{D509DD8C-AE6E-43B5-9064-27A6C633DBB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58" name="AutoShape 4" descr="http://www.cristaleriasmartinez.com.mx/img/THUSLRCF0860.jpg">
          <a:extLst>
            <a:ext uri="{FF2B5EF4-FFF2-40B4-BE49-F238E27FC236}">
              <a16:creationId xmlns:a16="http://schemas.microsoft.com/office/drawing/2014/main" id="{C82C8898-2160-469E-89D8-9B236E9A1AC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59" name="AutoShape 4" descr="http://www.cristaleriasmartinez.com.mx/img/THUSLRCF0860.jpg">
          <a:extLst>
            <a:ext uri="{FF2B5EF4-FFF2-40B4-BE49-F238E27FC236}">
              <a16:creationId xmlns:a16="http://schemas.microsoft.com/office/drawing/2014/main" id="{A3995EAC-31BB-45BC-99F3-EDB0D527D3F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60" name="AutoShape 4" descr="http://www.cristaleriasmartinez.com.mx/img/THUSLRCF0860.jpg">
          <a:extLst>
            <a:ext uri="{FF2B5EF4-FFF2-40B4-BE49-F238E27FC236}">
              <a16:creationId xmlns:a16="http://schemas.microsoft.com/office/drawing/2014/main" id="{26B294FA-2808-4B44-A819-316E856B4A1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61" name="AutoShape 4" descr="http://www.cristaleriasmartinez.com.mx/img/THUSLRCF0860.jpg">
          <a:extLst>
            <a:ext uri="{FF2B5EF4-FFF2-40B4-BE49-F238E27FC236}">
              <a16:creationId xmlns:a16="http://schemas.microsoft.com/office/drawing/2014/main" id="{E1E3E1E3-A187-4958-AC65-AF3AA76ED4C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62" name="AutoShape 4" descr="http://www.cristaleriasmartinez.com.mx/img/THUSLRCF0860.jpg">
          <a:extLst>
            <a:ext uri="{FF2B5EF4-FFF2-40B4-BE49-F238E27FC236}">
              <a16:creationId xmlns:a16="http://schemas.microsoft.com/office/drawing/2014/main" id="{A5A03EB4-5B41-4D24-91FA-3B962B31CC2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63" name="AutoShape 4" descr="http://www.cristaleriasmartinez.com.mx/img/THUSLRCF0860.jpg">
          <a:extLst>
            <a:ext uri="{FF2B5EF4-FFF2-40B4-BE49-F238E27FC236}">
              <a16:creationId xmlns:a16="http://schemas.microsoft.com/office/drawing/2014/main" id="{7FFAD5C1-4599-4DCA-9335-2BA63980526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64" name="AutoShape 4" descr="http://www.cristaleriasmartinez.com.mx/img/THUSLRCF0860.jpg">
          <a:extLst>
            <a:ext uri="{FF2B5EF4-FFF2-40B4-BE49-F238E27FC236}">
              <a16:creationId xmlns:a16="http://schemas.microsoft.com/office/drawing/2014/main" id="{098E5154-E4D2-4BE9-8915-2872E6EF142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65" name="AutoShape 4" descr="http://www.cristaleriasmartinez.com.mx/img/THUSLRCF0860.jpg">
          <a:extLst>
            <a:ext uri="{FF2B5EF4-FFF2-40B4-BE49-F238E27FC236}">
              <a16:creationId xmlns:a16="http://schemas.microsoft.com/office/drawing/2014/main" id="{2312E344-98CA-4B93-9C85-BE2DCE5C4C8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66" name="AutoShape 4" descr="http://www.cristaleriasmartinez.com.mx/img/THUSLRCF0860.jpg">
          <a:extLst>
            <a:ext uri="{FF2B5EF4-FFF2-40B4-BE49-F238E27FC236}">
              <a16:creationId xmlns:a16="http://schemas.microsoft.com/office/drawing/2014/main" id="{6BC674FF-726F-4837-8775-08252723856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67" name="AutoShape 4" descr="http://www.cristaleriasmartinez.com.mx/img/THUSLRCF0860.jpg">
          <a:extLst>
            <a:ext uri="{FF2B5EF4-FFF2-40B4-BE49-F238E27FC236}">
              <a16:creationId xmlns:a16="http://schemas.microsoft.com/office/drawing/2014/main" id="{C4A6C25A-62A9-4C0D-A369-DC0EAC19CBF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68" name="AutoShape 4" descr="http://www.cristaleriasmartinez.com.mx/img/THUSLRCF0860.jpg">
          <a:extLst>
            <a:ext uri="{FF2B5EF4-FFF2-40B4-BE49-F238E27FC236}">
              <a16:creationId xmlns:a16="http://schemas.microsoft.com/office/drawing/2014/main" id="{5531406C-F84A-48DF-9260-FFC05AF1447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69" name="AutoShape 4" descr="http://www.cristaleriasmartinez.com.mx/img/THUSLRCF0860.jpg">
          <a:extLst>
            <a:ext uri="{FF2B5EF4-FFF2-40B4-BE49-F238E27FC236}">
              <a16:creationId xmlns:a16="http://schemas.microsoft.com/office/drawing/2014/main" id="{E18E11B1-7C7A-44EC-8971-5AB8F636660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70" name="AutoShape 4" descr="http://www.cristaleriasmartinez.com.mx/img/THUSLRCF0860.jpg">
          <a:extLst>
            <a:ext uri="{FF2B5EF4-FFF2-40B4-BE49-F238E27FC236}">
              <a16:creationId xmlns:a16="http://schemas.microsoft.com/office/drawing/2014/main" id="{1417E667-AAE0-4883-8FF4-8C9B322DBB8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71" name="AutoShape 4" descr="http://www.cristaleriasmartinez.com.mx/img/THUSLRCF0860.jpg">
          <a:extLst>
            <a:ext uri="{FF2B5EF4-FFF2-40B4-BE49-F238E27FC236}">
              <a16:creationId xmlns:a16="http://schemas.microsoft.com/office/drawing/2014/main" id="{A9B75854-6AB6-4F78-B286-908CA936FFB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72" name="AutoShape 4" descr="http://www.cristaleriasmartinez.com.mx/img/THUSLRCF0860.jpg">
          <a:extLst>
            <a:ext uri="{FF2B5EF4-FFF2-40B4-BE49-F238E27FC236}">
              <a16:creationId xmlns:a16="http://schemas.microsoft.com/office/drawing/2014/main" id="{BD9ABAEB-E126-407F-8A73-247C3F2F1FA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73" name="AutoShape 4" descr="http://www.cristaleriasmartinez.com.mx/img/THUSLRCF0860.jpg">
          <a:extLst>
            <a:ext uri="{FF2B5EF4-FFF2-40B4-BE49-F238E27FC236}">
              <a16:creationId xmlns:a16="http://schemas.microsoft.com/office/drawing/2014/main" id="{B2EF79DA-76DA-4757-A57D-BC0827A3D00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74" name="AutoShape 4" descr="http://www.cristaleriasmartinez.com.mx/img/THUSLRCF0860.jpg">
          <a:extLst>
            <a:ext uri="{FF2B5EF4-FFF2-40B4-BE49-F238E27FC236}">
              <a16:creationId xmlns:a16="http://schemas.microsoft.com/office/drawing/2014/main" id="{E00FA10E-3B53-4142-B16F-FA19447FF6E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75" name="AutoShape 4" descr="http://www.cristaleriasmartinez.com.mx/img/THUSLRCF0860.jpg">
          <a:extLst>
            <a:ext uri="{FF2B5EF4-FFF2-40B4-BE49-F238E27FC236}">
              <a16:creationId xmlns:a16="http://schemas.microsoft.com/office/drawing/2014/main" id="{9946A082-16BC-4D86-9526-D8EE5EEEDD9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76" name="AutoShape 4" descr="http://www.cristaleriasmartinez.com.mx/img/THUSLRCF0860.jpg">
          <a:extLst>
            <a:ext uri="{FF2B5EF4-FFF2-40B4-BE49-F238E27FC236}">
              <a16:creationId xmlns:a16="http://schemas.microsoft.com/office/drawing/2014/main" id="{4B275CEF-F13C-4B88-8AF8-47E67A63867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77" name="AutoShape 4" descr="http://www.cristaleriasmartinez.com.mx/img/THUSLRCF0860.jpg">
          <a:extLst>
            <a:ext uri="{FF2B5EF4-FFF2-40B4-BE49-F238E27FC236}">
              <a16:creationId xmlns:a16="http://schemas.microsoft.com/office/drawing/2014/main" id="{2074F209-2802-423C-9077-848B1D17CCB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78" name="AutoShape 4" descr="http://www.cristaleriasmartinez.com.mx/img/THUSLRCF0860.jpg">
          <a:extLst>
            <a:ext uri="{FF2B5EF4-FFF2-40B4-BE49-F238E27FC236}">
              <a16:creationId xmlns:a16="http://schemas.microsoft.com/office/drawing/2014/main" id="{5D27EFCA-1839-411A-B37B-EF2C1052FD9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579" name="AutoShape 4" descr="http://www.cristaleriasmartinez.com.mx/img/THUSLRCF0860.jpg">
          <a:extLst>
            <a:ext uri="{FF2B5EF4-FFF2-40B4-BE49-F238E27FC236}">
              <a16:creationId xmlns:a16="http://schemas.microsoft.com/office/drawing/2014/main" id="{ABC0B4D8-3AAE-41E7-9587-05DCC20AE4E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580" name="AutoShape 4" descr="http://www.cristaleriasmartinez.com.mx/img/THUSLRCF0860.jpg">
          <a:extLst>
            <a:ext uri="{FF2B5EF4-FFF2-40B4-BE49-F238E27FC236}">
              <a16:creationId xmlns:a16="http://schemas.microsoft.com/office/drawing/2014/main" id="{4769763B-E3AF-490B-9DC6-A0EDBA53E97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581" name="AutoShape 4" descr="http://www.cristaleriasmartinez.com.mx/img/THUSLRCF0860.jpg">
          <a:extLst>
            <a:ext uri="{FF2B5EF4-FFF2-40B4-BE49-F238E27FC236}">
              <a16:creationId xmlns:a16="http://schemas.microsoft.com/office/drawing/2014/main" id="{47A8A86D-D98D-423E-B805-B9AAB85B574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582" name="AutoShape 4" descr="http://www.cristaleriasmartinez.com.mx/img/THUSLRCF0860.jpg">
          <a:extLst>
            <a:ext uri="{FF2B5EF4-FFF2-40B4-BE49-F238E27FC236}">
              <a16:creationId xmlns:a16="http://schemas.microsoft.com/office/drawing/2014/main" id="{16A4A713-0638-434C-B110-B3CE336EFCC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583" name="AutoShape 4" descr="http://www.cristaleriasmartinez.com.mx/img/THUSLRCF0860.jpg">
          <a:extLst>
            <a:ext uri="{FF2B5EF4-FFF2-40B4-BE49-F238E27FC236}">
              <a16:creationId xmlns:a16="http://schemas.microsoft.com/office/drawing/2014/main" id="{8B779985-55DB-4F3A-B5A4-C26A4CCA806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584" name="AutoShape 4" descr="http://www.cristaleriasmartinez.com.mx/img/THUSLRCF0860.jpg">
          <a:extLst>
            <a:ext uri="{FF2B5EF4-FFF2-40B4-BE49-F238E27FC236}">
              <a16:creationId xmlns:a16="http://schemas.microsoft.com/office/drawing/2014/main" id="{CAD6A3A3-3B47-4CFC-877C-97A67514338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585" name="AutoShape 4" descr="http://www.cristaleriasmartinez.com.mx/img/THUSLRCF0860.jpg">
          <a:extLst>
            <a:ext uri="{FF2B5EF4-FFF2-40B4-BE49-F238E27FC236}">
              <a16:creationId xmlns:a16="http://schemas.microsoft.com/office/drawing/2014/main" id="{4301F2E6-BF51-428E-ACA2-0356C9E2BA9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586" name="AutoShape 4" descr="http://www.cristaleriasmartinez.com.mx/img/THUSLRCF0860.jpg">
          <a:extLst>
            <a:ext uri="{FF2B5EF4-FFF2-40B4-BE49-F238E27FC236}">
              <a16:creationId xmlns:a16="http://schemas.microsoft.com/office/drawing/2014/main" id="{47227477-2150-44F2-B4D3-D4BAB66FC5F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587" name="AutoShape 4" descr="http://www.cristaleriasmartinez.com.mx/img/THUSLRCF0860.jpg">
          <a:extLst>
            <a:ext uri="{FF2B5EF4-FFF2-40B4-BE49-F238E27FC236}">
              <a16:creationId xmlns:a16="http://schemas.microsoft.com/office/drawing/2014/main" id="{AA262C04-2D2E-4DEC-8EA1-63500E6141F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588" name="AutoShape 4" descr="http://www.cristaleriasmartinez.com.mx/img/THUSLRCF0860.jpg">
          <a:extLst>
            <a:ext uri="{FF2B5EF4-FFF2-40B4-BE49-F238E27FC236}">
              <a16:creationId xmlns:a16="http://schemas.microsoft.com/office/drawing/2014/main" id="{03075774-2CDD-44D1-9FD5-6DF62177D28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589" name="AutoShape 4" descr="http://www.cristaleriasmartinez.com.mx/img/THUSLRCF0860.jpg">
          <a:extLst>
            <a:ext uri="{FF2B5EF4-FFF2-40B4-BE49-F238E27FC236}">
              <a16:creationId xmlns:a16="http://schemas.microsoft.com/office/drawing/2014/main" id="{A4C331A3-A08F-4634-ABCB-3EFF9D2DFC5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590" name="AutoShape 4" descr="http://www.cristaleriasmartinez.com.mx/img/THUSLRCF0860.jpg">
          <a:extLst>
            <a:ext uri="{FF2B5EF4-FFF2-40B4-BE49-F238E27FC236}">
              <a16:creationId xmlns:a16="http://schemas.microsoft.com/office/drawing/2014/main" id="{3F2E8A20-6F36-4572-9CBB-09939F5C2B4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591" name="AutoShape 4" descr="http://www.cristaleriasmartinez.com.mx/img/THUSLRCF0860.jpg">
          <a:extLst>
            <a:ext uri="{FF2B5EF4-FFF2-40B4-BE49-F238E27FC236}">
              <a16:creationId xmlns:a16="http://schemas.microsoft.com/office/drawing/2014/main" id="{A117E1BC-C053-47FA-8B1A-CB13D09C3E3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592" name="AutoShape 4" descr="http://www.cristaleriasmartinez.com.mx/img/THUSLRCF0860.jpg">
          <a:extLst>
            <a:ext uri="{FF2B5EF4-FFF2-40B4-BE49-F238E27FC236}">
              <a16:creationId xmlns:a16="http://schemas.microsoft.com/office/drawing/2014/main" id="{70671B97-50F3-418B-A012-6A54CA6B87D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593" name="AutoShape 4" descr="http://www.cristaleriasmartinez.com.mx/img/THUSLRCF0860.jpg">
          <a:extLst>
            <a:ext uri="{FF2B5EF4-FFF2-40B4-BE49-F238E27FC236}">
              <a16:creationId xmlns:a16="http://schemas.microsoft.com/office/drawing/2014/main" id="{81403C11-9CAC-4E89-9C17-915D396E9FF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594" name="AutoShape 4" descr="http://www.cristaleriasmartinez.com.mx/img/THUSLRCF0860.jpg">
          <a:extLst>
            <a:ext uri="{FF2B5EF4-FFF2-40B4-BE49-F238E27FC236}">
              <a16:creationId xmlns:a16="http://schemas.microsoft.com/office/drawing/2014/main" id="{4DB9B052-ED4C-4FC6-9BFB-E16A3D4BE0B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595" name="AutoShape 4" descr="http://www.cristaleriasmartinez.com.mx/img/THUSLRCF0860.jpg">
          <a:extLst>
            <a:ext uri="{FF2B5EF4-FFF2-40B4-BE49-F238E27FC236}">
              <a16:creationId xmlns:a16="http://schemas.microsoft.com/office/drawing/2014/main" id="{0A37E7A4-05A7-4023-9913-6C469D10AC4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596" name="7 Imagen" descr="FTT-250D.JPG">
          <a:extLst>
            <a:ext uri="{FF2B5EF4-FFF2-40B4-BE49-F238E27FC236}">
              <a16:creationId xmlns:a16="http://schemas.microsoft.com/office/drawing/2014/main" id="{1BA7AE1B-02C5-4A53-8B7A-42C42FA5F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597" name="8 Imagen" descr="FTT-250I.JPG">
          <a:extLst>
            <a:ext uri="{FF2B5EF4-FFF2-40B4-BE49-F238E27FC236}">
              <a16:creationId xmlns:a16="http://schemas.microsoft.com/office/drawing/2014/main" id="{047434CF-E7FC-4877-BBB1-3E3AAD855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598" name="7 Imagen" descr="FTT-250D.JPG">
          <a:extLst>
            <a:ext uri="{FF2B5EF4-FFF2-40B4-BE49-F238E27FC236}">
              <a16:creationId xmlns:a16="http://schemas.microsoft.com/office/drawing/2014/main" id="{868DFCDE-3B80-49DD-87F9-15DE99888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599" name="8 Imagen" descr="FTT-250I.JPG">
          <a:extLst>
            <a:ext uri="{FF2B5EF4-FFF2-40B4-BE49-F238E27FC236}">
              <a16:creationId xmlns:a16="http://schemas.microsoft.com/office/drawing/2014/main" id="{915E6F06-65A9-4888-922C-3BF425445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00" name="AutoShape 4" descr="http://www.cristaleriasmartinez.com.mx/img/THUSLRCF0860.jpg">
          <a:extLst>
            <a:ext uri="{FF2B5EF4-FFF2-40B4-BE49-F238E27FC236}">
              <a16:creationId xmlns:a16="http://schemas.microsoft.com/office/drawing/2014/main" id="{DCC0C464-5065-4E11-B53E-9CEFCB3CF79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01" name="AutoShape 4" descr="http://www.cristaleriasmartinez.com.mx/img/THUSLRCF0860.jpg">
          <a:extLst>
            <a:ext uri="{FF2B5EF4-FFF2-40B4-BE49-F238E27FC236}">
              <a16:creationId xmlns:a16="http://schemas.microsoft.com/office/drawing/2014/main" id="{76AE8278-9446-48BF-ADA4-3730EE25E5E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602" name="7 Imagen" descr="FTT-250D.JPG">
          <a:extLst>
            <a:ext uri="{FF2B5EF4-FFF2-40B4-BE49-F238E27FC236}">
              <a16:creationId xmlns:a16="http://schemas.microsoft.com/office/drawing/2014/main" id="{3911165D-35D1-41AD-A03C-8C1D63A7D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603" name="8 Imagen" descr="FTT-250I.JPG">
          <a:extLst>
            <a:ext uri="{FF2B5EF4-FFF2-40B4-BE49-F238E27FC236}">
              <a16:creationId xmlns:a16="http://schemas.microsoft.com/office/drawing/2014/main" id="{459875C3-4AE9-427A-BFAE-C2AC08090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604" name="7 Imagen" descr="FTT-250D.JPG">
          <a:extLst>
            <a:ext uri="{FF2B5EF4-FFF2-40B4-BE49-F238E27FC236}">
              <a16:creationId xmlns:a16="http://schemas.microsoft.com/office/drawing/2014/main" id="{9F6DFB36-3DE8-435E-AC23-053491B90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605" name="8 Imagen" descr="FTT-250I.JPG">
          <a:extLst>
            <a:ext uri="{FF2B5EF4-FFF2-40B4-BE49-F238E27FC236}">
              <a16:creationId xmlns:a16="http://schemas.microsoft.com/office/drawing/2014/main" id="{BF5AF043-CF30-45AC-933B-F34BB6CF2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06" name="AutoShape 4" descr="http://www.cristaleriasmartinez.com.mx/img/THUSLRCF0860.jpg">
          <a:extLst>
            <a:ext uri="{FF2B5EF4-FFF2-40B4-BE49-F238E27FC236}">
              <a16:creationId xmlns:a16="http://schemas.microsoft.com/office/drawing/2014/main" id="{3DAD2791-8316-4D7C-9498-951B0EC7F55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07" name="AutoShape 4" descr="http://www.cristaleriasmartinez.com.mx/img/THUSLRCF0860.jpg">
          <a:extLst>
            <a:ext uri="{FF2B5EF4-FFF2-40B4-BE49-F238E27FC236}">
              <a16:creationId xmlns:a16="http://schemas.microsoft.com/office/drawing/2014/main" id="{66A9135A-681D-4DDE-93E3-75EF914D29E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608" name="7 Imagen" descr="FTT-250D.JPG">
          <a:extLst>
            <a:ext uri="{FF2B5EF4-FFF2-40B4-BE49-F238E27FC236}">
              <a16:creationId xmlns:a16="http://schemas.microsoft.com/office/drawing/2014/main" id="{3E23FF91-39BE-402D-86BF-7C1A75D64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609" name="8 Imagen" descr="FTT-250I.JPG">
          <a:extLst>
            <a:ext uri="{FF2B5EF4-FFF2-40B4-BE49-F238E27FC236}">
              <a16:creationId xmlns:a16="http://schemas.microsoft.com/office/drawing/2014/main" id="{76792F9F-434F-44B7-8579-77F3A9F7E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610" name="7 Imagen" descr="FTT-250D.JPG">
          <a:extLst>
            <a:ext uri="{FF2B5EF4-FFF2-40B4-BE49-F238E27FC236}">
              <a16:creationId xmlns:a16="http://schemas.microsoft.com/office/drawing/2014/main" id="{B217EE12-0DBA-42B8-9084-B8DCE9E89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611" name="8 Imagen" descr="FTT-250I.JPG">
          <a:extLst>
            <a:ext uri="{FF2B5EF4-FFF2-40B4-BE49-F238E27FC236}">
              <a16:creationId xmlns:a16="http://schemas.microsoft.com/office/drawing/2014/main" id="{CC5A730D-D45F-4254-8F85-4AD34C552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12" name="AutoShape 4" descr="http://www.cristaleriasmartinez.com.mx/img/THUSLRCF0860.jpg">
          <a:extLst>
            <a:ext uri="{FF2B5EF4-FFF2-40B4-BE49-F238E27FC236}">
              <a16:creationId xmlns:a16="http://schemas.microsoft.com/office/drawing/2014/main" id="{0E78E08B-E1C1-4A01-904A-54D2C923516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13" name="AutoShape 4" descr="http://www.cristaleriasmartinez.com.mx/img/THUSLRCF0860.jpg">
          <a:extLst>
            <a:ext uri="{FF2B5EF4-FFF2-40B4-BE49-F238E27FC236}">
              <a16:creationId xmlns:a16="http://schemas.microsoft.com/office/drawing/2014/main" id="{32E076DA-F3CF-493B-885D-0EC6FF943C0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614" name="7 Imagen" descr="FTT-250D.JPG">
          <a:extLst>
            <a:ext uri="{FF2B5EF4-FFF2-40B4-BE49-F238E27FC236}">
              <a16:creationId xmlns:a16="http://schemas.microsoft.com/office/drawing/2014/main" id="{9F526D95-3DE8-4CDF-80AE-53E71E0AE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615" name="8 Imagen" descr="FTT-250I.JPG">
          <a:extLst>
            <a:ext uri="{FF2B5EF4-FFF2-40B4-BE49-F238E27FC236}">
              <a16:creationId xmlns:a16="http://schemas.microsoft.com/office/drawing/2014/main" id="{5B63B5F8-A1AF-4F07-B631-1B3C93D9B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616" name="7 Imagen" descr="FTT-250D.JPG">
          <a:extLst>
            <a:ext uri="{FF2B5EF4-FFF2-40B4-BE49-F238E27FC236}">
              <a16:creationId xmlns:a16="http://schemas.microsoft.com/office/drawing/2014/main" id="{64CF4C32-2D7A-431B-81D9-3832DEC42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617" name="8 Imagen" descr="FTT-250I.JPG">
          <a:extLst>
            <a:ext uri="{FF2B5EF4-FFF2-40B4-BE49-F238E27FC236}">
              <a16:creationId xmlns:a16="http://schemas.microsoft.com/office/drawing/2014/main" id="{60D55E47-4038-4707-9B7D-64106275A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18" name="AutoShape 4" descr="http://www.cristaleriasmartinez.com.mx/img/THUSLRCF0860.jpg">
          <a:extLst>
            <a:ext uri="{FF2B5EF4-FFF2-40B4-BE49-F238E27FC236}">
              <a16:creationId xmlns:a16="http://schemas.microsoft.com/office/drawing/2014/main" id="{CCCC253C-D90F-438A-94CF-C2A2809E69B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19" name="AutoShape 4" descr="http://www.cristaleriasmartinez.com.mx/img/THUSLRCF0860.jpg">
          <a:extLst>
            <a:ext uri="{FF2B5EF4-FFF2-40B4-BE49-F238E27FC236}">
              <a16:creationId xmlns:a16="http://schemas.microsoft.com/office/drawing/2014/main" id="{9859CD80-05D9-458D-AE65-F51EEA7A057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620" name="7 Imagen" descr="FTT-250D.JPG">
          <a:extLst>
            <a:ext uri="{FF2B5EF4-FFF2-40B4-BE49-F238E27FC236}">
              <a16:creationId xmlns:a16="http://schemas.microsoft.com/office/drawing/2014/main" id="{857AEB03-0815-42EE-AFCC-B72AD580C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621" name="8 Imagen" descr="FTT-250I.JPG">
          <a:extLst>
            <a:ext uri="{FF2B5EF4-FFF2-40B4-BE49-F238E27FC236}">
              <a16:creationId xmlns:a16="http://schemas.microsoft.com/office/drawing/2014/main" id="{706E13D8-76EA-4386-8DCC-4A9F77063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622" name="7 Imagen" descr="FTT-250D.JPG">
          <a:extLst>
            <a:ext uri="{FF2B5EF4-FFF2-40B4-BE49-F238E27FC236}">
              <a16:creationId xmlns:a16="http://schemas.microsoft.com/office/drawing/2014/main" id="{62E43024-C014-437B-9381-0515417F0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623" name="8 Imagen" descr="FTT-250I.JPG">
          <a:extLst>
            <a:ext uri="{FF2B5EF4-FFF2-40B4-BE49-F238E27FC236}">
              <a16:creationId xmlns:a16="http://schemas.microsoft.com/office/drawing/2014/main" id="{FC69632D-0C28-431D-BEAB-03D1B927F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24" name="AutoShape 4" descr="http://www.cristaleriasmartinez.com.mx/img/THUSLRCF0860.jpg">
          <a:extLst>
            <a:ext uri="{FF2B5EF4-FFF2-40B4-BE49-F238E27FC236}">
              <a16:creationId xmlns:a16="http://schemas.microsoft.com/office/drawing/2014/main" id="{EEF3FC33-E3BD-4DA3-AE1F-C1131F606FC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25" name="AutoShape 4" descr="http://www.cristaleriasmartinez.com.mx/img/THUSLRCF0860.jpg">
          <a:extLst>
            <a:ext uri="{FF2B5EF4-FFF2-40B4-BE49-F238E27FC236}">
              <a16:creationId xmlns:a16="http://schemas.microsoft.com/office/drawing/2014/main" id="{17B2D088-C507-423D-9164-37897C051BF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626" name="7 Imagen" descr="FTT-250D.JPG">
          <a:extLst>
            <a:ext uri="{FF2B5EF4-FFF2-40B4-BE49-F238E27FC236}">
              <a16:creationId xmlns:a16="http://schemas.microsoft.com/office/drawing/2014/main" id="{00501146-E567-4FAA-AC1C-D2AF7414D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627" name="8 Imagen" descr="FTT-250I.JPG">
          <a:extLst>
            <a:ext uri="{FF2B5EF4-FFF2-40B4-BE49-F238E27FC236}">
              <a16:creationId xmlns:a16="http://schemas.microsoft.com/office/drawing/2014/main" id="{386386B9-CE2E-49AD-9E92-EDBB9B325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628" name="7 Imagen" descr="FTT-250D.JPG">
          <a:extLst>
            <a:ext uri="{FF2B5EF4-FFF2-40B4-BE49-F238E27FC236}">
              <a16:creationId xmlns:a16="http://schemas.microsoft.com/office/drawing/2014/main" id="{ECB18329-20D0-4D7E-B38A-E5BF5473F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629" name="8 Imagen" descr="FTT-250I.JPG">
          <a:extLst>
            <a:ext uri="{FF2B5EF4-FFF2-40B4-BE49-F238E27FC236}">
              <a16:creationId xmlns:a16="http://schemas.microsoft.com/office/drawing/2014/main" id="{ACCD4FA4-C0DF-4930-BE30-7E696B9DC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30" name="AutoShape 4" descr="http://www.cristaleriasmartinez.com.mx/img/THUSLRCF0860.jpg">
          <a:extLst>
            <a:ext uri="{FF2B5EF4-FFF2-40B4-BE49-F238E27FC236}">
              <a16:creationId xmlns:a16="http://schemas.microsoft.com/office/drawing/2014/main" id="{64FB4EB3-1B84-4A32-AD0B-EC2272F45C2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31" name="AutoShape 4" descr="http://www.cristaleriasmartinez.com.mx/img/THUSLRCF0860.jpg">
          <a:extLst>
            <a:ext uri="{FF2B5EF4-FFF2-40B4-BE49-F238E27FC236}">
              <a16:creationId xmlns:a16="http://schemas.microsoft.com/office/drawing/2014/main" id="{8CC625A7-51F4-4645-94EC-5FB5904CD14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632" name="7 Imagen" descr="FTT-250D.JPG">
          <a:extLst>
            <a:ext uri="{FF2B5EF4-FFF2-40B4-BE49-F238E27FC236}">
              <a16:creationId xmlns:a16="http://schemas.microsoft.com/office/drawing/2014/main" id="{E31ADFE8-5B0D-4C46-B463-D293C8445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633" name="8 Imagen" descr="FTT-250I.JPG">
          <a:extLst>
            <a:ext uri="{FF2B5EF4-FFF2-40B4-BE49-F238E27FC236}">
              <a16:creationId xmlns:a16="http://schemas.microsoft.com/office/drawing/2014/main" id="{F1BA4084-40AE-4880-9796-03A721608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634" name="7 Imagen" descr="FTT-250D.JPG">
          <a:extLst>
            <a:ext uri="{FF2B5EF4-FFF2-40B4-BE49-F238E27FC236}">
              <a16:creationId xmlns:a16="http://schemas.microsoft.com/office/drawing/2014/main" id="{D8E0FF81-9EDB-46E7-AEB6-7AF2778FE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635" name="8 Imagen" descr="FTT-250I.JPG">
          <a:extLst>
            <a:ext uri="{FF2B5EF4-FFF2-40B4-BE49-F238E27FC236}">
              <a16:creationId xmlns:a16="http://schemas.microsoft.com/office/drawing/2014/main" id="{2F0E0295-86B2-4320-A9A0-5B495542B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36" name="AutoShape 4" descr="http://www.cristaleriasmartinez.com.mx/img/THUSLRCF0860.jpg">
          <a:extLst>
            <a:ext uri="{FF2B5EF4-FFF2-40B4-BE49-F238E27FC236}">
              <a16:creationId xmlns:a16="http://schemas.microsoft.com/office/drawing/2014/main" id="{CF5BA8AF-6AB3-4DFA-A532-256B15B9124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37" name="AutoShape 4" descr="http://www.cristaleriasmartinez.com.mx/img/THUSLRCF0860.jpg">
          <a:extLst>
            <a:ext uri="{FF2B5EF4-FFF2-40B4-BE49-F238E27FC236}">
              <a16:creationId xmlns:a16="http://schemas.microsoft.com/office/drawing/2014/main" id="{91617A1C-18D9-46E6-9E38-BD7B5137287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638" name="7 Imagen" descr="FTT-250D.JPG">
          <a:extLst>
            <a:ext uri="{FF2B5EF4-FFF2-40B4-BE49-F238E27FC236}">
              <a16:creationId xmlns:a16="http://schemas.microsoft.com/office/drawing/2014/main" id="{CCA4CCEB-9AFF-48D6-B7FE-22BDC36CC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639" name="8 Imagen" descr="FTT-250I.JPG">
          <a:extLst>
            <a:ext uri="{FF2B5EF4-FFF2-40B4-BE49-F238E27FC236}">
              <a16:creationId xmlns:a16="http://schemas.microsoft.com/office/drawing/2014/main" id="{84CD3B2C-115E-4E52-A9A3-D31E1EFE8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2752725</xdr:colOff>
      <xdr:row>18</xdr:row>
      <xdr:rowOff>0</xdr:rowOff>
    </xdr:from>
    <xdr:ext cx="962025" cy="0"/>
    <xdr:pic>
      <xdr:nvPicPr>
        <xdr:cNvPr id="640" name="7 Imagen" descr="FTT-250D.JPG">
          <a:extLst>
            <a:ext uri="{FF2B5EF4-FFF2-40B4-BE49-F238E27FC236}">
              <a16:creationId xmlns:a16="http://schemas.microsoft.com/office/drawing/2014/main" id="{1F5899D4-40B8-4A99-B2EE-0DAD72EA3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067425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2733675</xdr:colOff>
      <xdr:row>18</xdr:row>
      <xdr:rowOff>0</xdr:rowOff>
    </xdr:from>
    <xdr:ext cx="1009650" cy="0"/>
    <xdr:pic>
      <xdr:nvPicPr>
        <xdr:cNvPr id="641" name="8 Imagen" descr="FTT-250I.JPG">
          <a:extLst>
            <a:ext uri="{FF2B5EF4-FFF2-40B4-BE49-F238E27FC236}">
              <a16:creationId xmlns:a16="http://schemas.microsoft.com/office/drawing/2014/main" id="{867BCE26-909D-4B24-841C-D96649292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06742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42" name="AutoShape 4" descr="http://www.cristaleriasmartinez.com.mx/img/THUSLRCF0860.jpg">
          <a:extLst>
            <a:ext uri="{FF2B5EF4-FFF2-40B4-BE49-F238E27FC236}">
              <a16:creationId xmlns:a16="http://schemas.microsoft.com/office/drawing/2014/main" id="{97660B34-EBEE-4137-A0C7-231D1488F25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43" name="AutoShape 4" descr="http://www.cristaleriasmartinez.com.mx/img/THUSLRCF0860.jpg">
          <a:extLst>
            <a:ext uri="{FF2B5EF4-FFF2-40B4-BE49-F238E27FC236}">
              <a16:creationId xmlns:a16="http://schemas.microsoft.com/office/drawing/2014/main" id="{C5CA2997-9697-4DC6-BBF3-C0A6CEB0524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06742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646" name="AutoShape 4" descr="http://www.cristaleriasmartinez.com.mx/img/THUSLRCF0860.jpg">
          <a:extLst>
            <a:ext uri="{FF2B5EF4-FFF2-40B4-BE49-F238E27FC236}">
              <a16:creationId xmlns:a16="http://schemas.microsoft.com/office/drawing/2014/main" id="{02CF94D6-F96C-416B-AC19-591B814C15B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647" name="AutoShape 4" descr="http://www.cristaleriasmartinez.com.mx/img/THUSLRCF0860.jpg">
          <a:extLst>
            <a:ext uri="{FF2B5EF4-FFF2-40B4-BE49-F238E27FC236}">
              <a16:creationId xmlns:a16="http://schemas.microsoft.com/office/drawing/2014/main" id="{386D5F72-84DD-44B7-95E5-72CF0B04713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648" name="AutoShape 4" descr="http://www.cristaleriasmartinez.com.mx/img/THUSLRCF0860.jpg">
          <a:extLst>
            <a:ext uri="{FF2B5EF4-FFF2-40B4-BE49-F238E27FC236}">
              <a16:creationId xmlns:a16="http://schemas.microsoft.com/office/drawing/2014/main" id="{7E0A44D2-8161-45B1-B518-A6591A57232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649" name="AutoShape 4" descr="http://www.cristaleriasmartinez.com.mx/img/THUSLRCF0860.jpg">
          <a:extLst>
            <a:ext uri="{FF2B5EF4-FFF2-40B4-BE49-F238E27FC236}">
              <a16:creationId xmlns:a16="http://schemas.microsoft.com/office/drawing/2014/main" id="{D18F435A-E383-496F-B04B-055E26A4A47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650" name="AutoShape 4" descr="http://www.cristaleriasmartinez.com.mx/img/THUSLRCF0860.jpg">
          <a:extLst>
            <a:ext uri="{FF2B5EF4-FFF2-40B4-BE49-F238E27FC236}">
              <a16:creationId xmlns:a16="http://schemas.microsoft.com/office/drawing/2014/main" id="{BE345322-2C7D-4E45-8FF3-F048E5346C6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651" name="AutoShape 4" descr="http://www.cristaleriasmartinez.com.mx/img/THUSLRCF0860.jpg">
          <a:extLst>
            <a:ext uri="{FF2B5EF4-FFF2-40B4-BE49-F238E27FC236}">
              <a16:creationId xmlns:a16="http://schemas.microsoft.com/office/drawing/2014/main" id="{B02D4133-EFA8-4B13-AD26-B2C38C032BB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652" name="AutoShape 4" descr="http://www.cristaleriasmartinez.com.mx/img/THUSLRCF0860.jpg">
          <a:extLst>
            <a:ext uri="{FF2B5EF4-FFF2-40B4-BE49-F238E27FC236}">
              <a16:creationId xmlns:a16="http://schemas.microsoft.com/office/drawing/2014/main" id="{83D3A85F-D2BE-4889-BE1C-8371B627475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653" name="AutoShape 4" descr="http://www.cristaleriasmartinez.com.mx/img/THUSLRCF0860.jpg">
          <a:extLst>
            <a:ext uri="{FF2B5EF4-FFF2-40B4-BE49-F238E27FC236}">
              <a16:creationId xmlns:a16="http://schemas.microsoft.com/office/drawing/2014/main" id="{FA95AB7D-7351-4AF3-9B51-6A633BA6B6A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654" name="AutoShape 4" descr="http://www.cristaleriasmartinez.com.mx/img/THUSLRCF0860.jpg">
          <a:extLst>
            <a:ext uri="{FF2B5EF4-FFF2-40B4-BE49-F238E27FC236}">
              <a16:creationId xmlns:a16="http://schemas.microsoft.com/office/drawing/2014/main" id="{32B81DE3-81B1-4A1F-AE0F-A0418913B9B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655" name="AutoShape 4" descr="http://www.cristaleriasmartinez.com.mx/img/THUSLRCF0860.jpg">
          <a:extLst>
            <a:ext uri="{FF2B5EF4-FFF2-40B4-BE49-F238E27FC236}">
              <a16:creationId xmlns:a16="http://schemas.microsoft.com/office/drawing/2014/main" id="{0DBB26BA-620E-4500-9CFE-8491A5EFFD2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656" name="AutoShape 4" descr="http://www.cristaleriasmartinez.com.mx/img/THUSLRCF0860.jpg">
          <a:extLst>
            <a:ext uri="{FF2B5EF4-FFF2-40B4-BE49-F238E27FC236}">
              <a16:creationId xmlns:a16="http://schemas.microsoft.com/office/drawing/2014/main" id="{26489B15-C6C0-428D-B197-28687ACF89D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657" name="AutoShape 4" descr="http://www.cristaleriasmartinez.com.mx/img/THUSLRCF0860.jpg">
          <a:extLst>
            <a:ext uri="{FF2B5EF4-FFF2-40B4-BE49-F238E27FC236}">
              <a16:creationId xmlns:a16="http://schemas.microsoft.com/office/drawing/2014/main" id="{E174F48E-08D9-458E-BD93-A148CE74704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658" name="AutoShape 4" descr="http://www.cristaleriasmartinez.com.mx/img/THUSLRCF0860.jpg">
          <a:extLst>
            <a:ext uri="{FF2B5EF4-FFF2-40B4-BE49-F238E27FC236}">
              <a16:creationId xmlns:a16="http://schemas.microsoft.com/office/drawing/2014/main" id="{D97BD93A-30BF-4A83-9E84-5C0C0DF405B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659" name="AutoShape 4" descr="http://www.cristaleriasmartinez.com.mx/img/THUSLRCF0860.jpg">
          <a:extLst>
            <a:ext uri="{FF2B5EF4-FFF2-40B4-BE49-F238E27FC236}">
              <a16:creationId xmlns:a16="http://schemas.microsoft.com/office/drawing/2014/main" id="{1833F838-CB7E-4F47-B8A4-8E37F8895CD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660" name="AutoShape 4" descr="http://www.cristaleriasmartinez.com.mx/img/THUSLRCF0860.jpg">
          <a:extLst>
            <a:ext uri="{FF2B5EF4-FFF2-40B4-BE49-F238E27FC236}">
              <a16:creationId xmlns:a16="http://schemas.microsoft.com/office/drawing/2014/main" id="{D3723333-0F1A-4EBA-BAA3-8A3DE017249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47815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65" name="AutoShape 4" descr="http://www.cristaleriasmartinez.com.mx/img/THUSLRCF0860.jpg">
          <a:extLst>
            <a:ext uri="{FF2B5EF4-FFF2-40B4-BE49-F238E27FC236}">
              <a16:creationId xmlns:a16="http://schemas.microsoft.com/office/drawing/2014/main" id="{E6387C2A-5BF9-4554-B89C-1494DC8865F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66" name="AutoShape 4" descr="http://www.cristaleriasmartinez.com.mx/img/THUSLRCF0860.jpg">
          <a:extLst>
            <a:ext uri="{FF2B5EF4-FFF2-40B4-BE49-F238E27FC236}">
              <a16:creationId xmlns:a16="http://schemas.microsoft.com/office/drawing/2014/main" id="{AF9C842B-6D14-4B8F-B844-81A94B75E6D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67" name="AutoShape 4" descr="http://www.cristaleriasmartinez.com.mx/img/THUSLRCF0860.jpg">
          <a:extLst>
            <a:ext uri="{FF2B5EF4-FFF2-40B4-BE49-F238E27FC236}">
              <a16:creationId xmlns:a16="http://schemas.microsoft.com/office/drawing/2014/main" id="{E1CD65B2-9631-4B21-925F-CCFAA1DC792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68" name="AutoShape 4" descr="http://www.cristaleriasmartinez.com.mx/img/THUSLRCF0860.jpg">
          <a:extLst>
            <a:ext uri="{FF2B5EF4-FFF2-40B4-BE49-F238E27FC236}">
              <a16:creationId xmlns:a16="http://schemas.microsoft.com/office/drawing/2014/main" id="{F6D3A87B-3367-4A86-A95A-3884EAD4681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69" name="AutoShape 4" descr="http://www.cristaleriasmartinez.com.mx/img/THUSLRCF0860.jpg">
          <a:extLst>
            <a:ext uri="{FF2B5EF4-FFF2-40B4-BE49-F238E27FC236}">
              <a16:creationId xmlns:a16="http://schemas.microsoft.com/office/drawing/2014/main" id="{1297E3DD-607E-40CF-9601-2281D1C3FFF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70" name="AutoShape 4" descr="http://www.cristaleriasmartinez.com.mx/img/THUSLRCF0860.jpg">
          <a:extLst>
            <a:ext uri="{FF2B5EF4-FFF2-40B4-BE49-F238E27FC236}">
              <a16:creationId xmlns:a16="http://schemas.microsoft.com/office/drawing/2014/main" id="{359C2370-8A85-4DF0-AA8A-83256044862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71" name="AutoShape 4" descr="http://www.cristaleriasmartinez.com.mx/img/THUSLRCF0860.jpg">
          <a:extLst>
            <a:ext uri="{FF2B5EF4-FFF2-40B4-BE49-F238E27FC236}">
              <a16:creationId xmlns:a16="http://schemas.microsoft.com/office/drawing/2014/main" id="{619A687E-8314-46F4-A193-C4CB39ECD95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72" name="AutoShape 4" descr="http://www.cristaleriasmartinez.com.mx/img/THUSLRCF0860.jpg">
          <a:extLst>
            <a:ext uri="{FF2B5EF4-FFF2-40B4-BE49-F238E27FC236}">
              <a16:creationId xmlns:a16="http://schemas.microsoft.com/office/drawing/2014/main" id="{0B832938-C852-4B6E-AD2A-AC66ACC4B30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73" name="AutoShape 4" descr="http://www.cristaleriasmartinez.com.mx/img/THUSLRCF0860.jpg">
          <a:extLst>
            <a:ext uri="{FF2B5EF4-FFF2-40B4-BE49-F238E27FC236}">
              <a16:creationId xmlns:a16="http://schemas.microsoft.com/office/drawing/2014/main" id="{9A962A4F-D0B5-44DD-818F-C7CA7F30A97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74" name="AutoShape 4" descr="http://www.cristaleriasmartinez.com.mx/img/THUSLRCF0860.jpg">
          <a:extLst>
            <a:ext uri="{FF2B5EF4-FFF2-40B4-BE49-F238E27FC236}">
              <a16:creationId xmlns:a16="http://schemas.microsoft.com/office/drawing/2014/main" id="{D6550E21-BBDA-4268-BB5F-25B94DC78DC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75" name="AutoShape 4" descr="http://www.cristaleriasmartinez.com.mx/img/THUSLRCF0860.jpg">
          <a:extLst>
            <a:ext uri="{FF2B5EF4-FFF2-40B4-BE49-F238E27FC236}">
              <a16:creationId xmlns:a16="http://schemas.microsoft.com/office/drawing/2014/main" id="{7ADB4164-F9E0-4167-B8A7-2894504822C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76" name="AutoShape 4" descr="http://www.cristaleriasmartinez.com.mx/img/THUSLRCF0860.jpg">
          <a:extLst>
            <a:ext uri="{FF2B5EF4-FFF2-40B4-BE49-F238E27FC236}">
              <a16:creationId xmlns:a16="http://schemas.microsoft.com/office/drawing/2014/main" id="{CFDE6F7D-A994-4CED-A0C4-7FA158223D6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77" name="AutoShape 4" descr="http://www.cristaleriasmartinez.com.mx/img/THUSLRCF0860.jpg">
          <a:extLst>
            <a:ext uri="{FF2B5EF4-FFF2-40B4-BE49-F238E27FC236}">
              <a16:creationId xmlns:a16="http://schemas.microsoft.com/office/drawing/2014/main" id="{5F7D8AB5-757B-4815-A322-6551F453237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78" name="AutoShape 4" descr="http://www.cristaleriasmartinez.com.mx/img/THUSLRCF0860.jpg">
          <a:extLst>
            <a:ext uri="{FF2B5EF4-FFF2-40B4-BE49-F238E27FC236}">
              <a16:creationId xmlns:a16="http://schemas.microsoft.com/office/drawing/2014/main" id="{614BC719-E69C-4414-A387-B0C4AE73BDD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79" name="AutoShape 4" descr="http://www.cristaleriasmartinez.com.mx/img/THUSLRCF0860.jpg">
          <a:extLst>
            <a:ext uri="{FF2B5EF4-FFF2-40B4-BE49-F238E27FC236}">
              <a16:creationId xmlns:a16="http://schemas.microsoft.com/office/drawing/2014/main" id="{33EAA889-90D0-4AE0-84AD-7120FD2E409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80" name="AutoShape 4" descr="http://www.cristaleriasmartinez.com.mx/img/THUSLRCF0860.jpg">
          <a:extLst>
            <a:ext uri="{FF2B5EF4-FFF2-40B4-BE49-F238E27FC236}">
              <a16:creationId xmlns:a16="http://schemas.microsoft.com/office/drawing/2014/main" id="{58BCBD88-5A2C-43C9-9D46-6F5FBC9F96F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81" name="AutoShape 4" descr="http://www.cristaleriasmartinez.com.mx/img/THUSLRCF0860.jpg">
          <a:extLst>
            <a:ext uri="{FF2B5EF4-FFF2-40B4-BE49-F238E27FC236}">
              <a16:creationId xmlns:a16="http://schemas.microsoft.com/office/drawing/2014/main" id="{3D1CA21E-C8AA-4C96-B8B2-D8331522CCE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82" name="AutoShape 4" descr="http://www.cristaleriasmartinez.com.mx/img/THUSLRCF0860.jpg">
          <a:extLst>
            <a:ext uri="{FF2B5EF4-FFF2-40B4-BE49-F238E27FC236}">
              <a16:creationId xmlns:a16="http://schemas.microsoft.com/office/drawing/2014/main" id="{2A979E69-7A59-4533-B74F-B196118363D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83" name="AutoShape 4" descr="http://www.cristaleriasmartinez.com.mx/img/THUSLRCF0860.jpg">
          <a:extLst>
            <a:ext uri="{FF2B5EF4-FFF2-40B4-BE49-F238E27FC236}">
              <a16:creationId xmlns:a16="http://schemas.microsoft.com/office/drawing/2014/main" id="{D39526D8-5F61-4CD0-9801-D5472BEE218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84" name="AutoShape 4" descr="http://www.cristaleriasmartinez.com.mx/img/THUSLRCF0860.jpg">
          <a:extLst>
            <a:ext uri="{FF2B5EF4-FFF2-40B4-BE49-F238E27FC236}">
              <a16:creationId xmlns:a16="http://schemas.microsoft.com/office/drawing/2014/main" id="{FB5913E9-A49A-4F0A-9E76-577F5DE987E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85" name="AutoShape 4" descr="http://www.cristaleriasmartinez.com.mx/img/THUSLRCF0860.jpg">
          <a:extLst>
            <a:ext uri="{FF2B5EF4-FFF2-40B4-BE49-F238E27FC236}">
              <a16:creationId xmlns:a16="http://schemas.microsoft.com/office/drawing/2014/main" id="{0B98FF13-3165-499C-A9DC-D1188AFFF11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86" name="AutoShape 4" descr="http://www.cristaleriasmartinez.com.mx/img/THUSLRCF0860.jpg">
          <a:extLst>
            <a:ext uri="{FF2B5EF4-FFF2-40B4-BE49-F238E27FC236}">
              <a16:creationId xmlns:a16="http://schemas.microsoft.com/office/drawing/2014/main" id="{15FDD218-B1E7-4C44-9A88-D879B6E3D1D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87" name="AutoShape 4" descr="http://www.cristaleriasmartinez.com.mx/img/THUSLRCF0860.jpg">
          <a:extLst>
            <a:ext uri="{FF2B5EF4-FFF2-40B4-BE49-F238E27FC236}">
              <a16:creationId xmlns:a16="http://schemas.microsoft.com/office/drawing/2014/main" id="{F8C9B524-E180-4F33-95A5-722B2D9583E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88" name="AutoShape 4" descr="http://www.cristaleriasmartinez.com.mx/img/THUSLRCF0860.jpg">
          <a:extLst>
            <a:ext uri="{FF2B5EF4-FFF2-40B4-BE49-F238E27FC236}">
              <a16:creationId xmlns:a16="http://schemas.microsoft.com/office/drawing/2014/main" id="{5B80842C-3D9F-474A-AEAE-A33EF65AF01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89" name="AutoShape 4" descr="http://www.cristaleriasmartinez.com.mx/img/THUSLRCF0860.jpg">
          <a:extLst>
            <a:ext uri="{FF2B5EF4-FFF2-40B4-BE49-F238E27FC236}">
              <a16:creationId xmlns:a16="http://schemas.microsoft.com/office/drawing/2014/main" id="{302B667F-491B-4F67-A817-5C27F96451D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90" name="AutoShape 4" descr="http://www.cristaleriasmartinez.com.mx/img/THUSLRCF0860.jpg">
          <a:extLst>
            <a:ext uri="{FF2B5EF4-FFF2-40B4-BE49-F238E27FC236}">
              <a16:creationId xmlns:a16="http://schemas.microsoft.com/office/drawing/2014/main" id="{0F78986C-9495-48A7-B367-26FCEEDAEAB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91" name="AutoShape 4" descr="http://www.cristaleriasmartinez.com.mx/img/THUSLRCF0860.jpg">
          <a:extLst>
            <a:ext uri="{FF2B5EF4-FFF2-40B4-BE49-F238E27FC236}">
              <a16:creationId xmlns:a16="http://schemas.microsoft.com/office/drawing/2014/main" id="{2C032888-F7FD-4A5F-8ADE-71BB9EAB698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92" name="AutoShape 4" descr="http://www.cristaleriasmartinez.com.mx/img/THUSLRCF0860.jpg">
          <a:extLst>
            <a:ext uri="{FF2B5EF4-FFF2-40B4-BE49-F238E27FC236}">
              <a16:creationId xmlns:a16="http://schemas.microsoft.com/office/drawing/2014/main" id="{240D8BC4-A24E-4261-8EEA-BA789D5498B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93" name="AutoShape 4" descr="http://www.cristaleriasmartinez.com.mx/img/THUSLRCF0860.jpg">
          <a:extLst>
            <a:ext uri="{FF2B5EF4-FFF2-40B4-BE49-F238E27FC236}">
              <a16:creationId xmlns:a16="http://schemas.microsoft.com/office/drawing/2014/main" id="{08342971-4E1E-4D0D-9888-489CCF6C1C2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94" name="AutoShape 4" descr="http://www.cristaleriasmartinez.com.mx/img/THUSLRCF0860.jpg">
          <a:extLst>
            <a:ext uri="{FF2B5EF4-FFF2-40B4-BE49-F238E27FC236}">
              <a16:creationId xmlns:a16="http://schemas.microsoft.com/office/drawing/2014/main" id="{C613ABA1-7E88-4908-954A-648DFAFDBFA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95" name="AutoShape 4" descr="http://www.cristaleriasmartinez.com.mx/img/THUSLRCF0860.jpg">
          <a:extLst>
            <a:ext uri="{FF2B5EF4-FFF2-40B4-BE49-F238E27FC236}">
              <a16:creationId xmlns:a16="http://schemas.microsoft.com/office/drawing/2014/main" id="{A1C9A1FC-9411-4C85-B0E1-A9FF80CCBEC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96" name="AutoShape 4" descr="http://www.cristaleriasmartinez.com.mx/img/THUSLRCF0860.jpg">
          <a:extLst>
            <a:ext uri="{FF2B5EF4-FFF2-40B4-BE49-F238E27FC236}">
              <a16:creationId xmlns:a16="http://schemas.microsoft.com/office/drawing/2014/main" id="{7E674A7C-0D17-4300-BC04-2790EA104E2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97" name="AutoShape 4" descr="http://www.cristaleriasmartinez.com.mx/img/THUSLRCF0860.jpg">
          <a:extLst>
            <a:ext uri="{FF2B5EF4-FFF2-40B4-BE49-F238E27FC236}">
              <a16:creationId xmlns:a16="http://schemas.microsoft.com/office/drawing/2014/main" id="{DD99DB5C-4B52-463E-B568-C87723FFD91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98" name="AutoShape 4" descr="http://www.cristaleriasmartinez.com.mx/img/THUSLRCF0860.jpg">
          <a:extLst>
            <a:ext uri="{FF2B5EF4-FFF2-40B4-BE49-F238E27FC236}">
              <a16:creationId xmlns:a16="http://schemas.microsoft.com/office/drawing/2014/main" id="{79824560-F056-4024-9BEF-8A6C19C5CFD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699" name="AutoShape 4" descr="http://www.cristaleriasmartinez.com.mx/img/THUSLRCF0860.jpg">
          <a:extLst>
            <a:ext uri="{FF2B5EF4-FFF2-40B4-BE49-F238E27FC236}">
              <a16:creationId xmlns:a16="http://schemas.microsoft.com/office/drawing/2014/main" id="{F8961F90-AFA9-4F8E-B4AC-5CDE7946E19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700" name="AutoShape 4" descr="http://www.cristaleriasmartinez.com.mx/img/THUSLRCF0860.jpg">
          <a:extLst>
            <a:ext uri="{FF2B5EF4-FFF2-40B4-BE49-F238E27FC236}">
              <a16:creationId xmlns:a16="http://schemas.microsoft.com/office/drawing/2014/main" id="{EF2E0A0B-1FFE-44C9-95E4-197B38DF899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701" name="AutoShape 4" descr="http://www.cristaleriasmartinez.com.mx/img/THUSLRCF0860.jpg">
          <a:extLst>
            <a:ext uri="{FF2B5EF4-FFF2-40B4-BE49-F238E27FC236}">
              <a16:creationId xmlns:a16="http://schemas.microsoft.com/office/drawing/2014/main" id="{4137C0D5-6866-4734-B168-6D05753199F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702" name="AutoShape 4" descr="http://www.cristaleriasmartinez.com.mx/img/THUSLRCF0860.jpg">
          <a:extLst>
            <a:ext uri="{FF2B5EF4-FFF2-40B4-BE49-F238E27FC236}">
              <a16:creationId xmlns:a16="http://schemas.microsoft.com/office/drawing/2014/main" id="{EBB4051E-4ABF-41D7-A651-BE9900522F3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703" name="AutoShape 4" descr="http://www.cristaleriasmartinez.com.mx/img/THUSLRCF0860.jpg">
          <a:extLst>
            <a:ext uri="{FF2B5EF4-FFF2-40B4-BE49-F238E27FC236}">
              <a16:creationId xmlns:a16="http://schemas.microsoft.com/office/drawing/2014/main" id="{1BC3D21D-92BC-4AC5-82CF-0A5E2054085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704" name="AutoShape 4" descr="http://www.cristaleriasmartinez.com.mx/img/THUSLRCF0860.jpg">
          <a:extLst>
            <a:ext uri="{FF2B5EF4-FFF2-40B4-BE49-F238E27FC236}">
              <a16:creationId xmlns:a16="http://schemas.microsoft.com/office/drawing/2014/main" id="{A7862D5D-EFDE-4061-AFC7-4BF643D422B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705" name="AutoShape 4" descr="http://www.cristaleriasmartinez.com.mx/img/THUSLRCF0860.jpg">
          <a:extLst>
            <a:ext uri="{FF2B5EF4-FFF2-40B4-BE49-F238E27FC236}">
              <a16:creationId xmlns:a16="http://schemas.microsoft.com/office/drawing/2014/main" id="{7028CC90-8500-4111-9A54-26CD41949D2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706" name="AutoShape 4" descr="http://www.cristaleriasmartinez.com.mx/img/THUSLRCF0860.jpg">
          <a:extLst>
            <a:ext uri="{FF2B5EF4-FFF2-40B4-BE49-F238E27FC236}">
              <a16:creationId xmlns:a16="http://schemas.microsoft.com/office/drawing/2014/main" id="{0E9A5340-462D-4DD0-8F3F-CA084C89DAD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707" name="AutoShape 4" descr="http://www.cristaleriasmartinez.com.mx/img/THUSLRCF0860.jpg">
          <a:extLst>
            <a:ext uri="{FF2B5EF4-FFF2-40B4-BE49-F238E27FC236}">
              <a16:creationId xmlns:a16="http://schemas.microsoft.com/office/drawing/2014/main" id="{DA05B4CC-7817-4790-9AF8-C61C4FC721C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708" name="AutoShape 4" descr="http://www.cristaleriasmartinez.com.mx/img/THUSLRCF0860.jpg">
          <a:extLst>
            <a:ext uri="{FF2B5EF4-FFF2-40B4-BE49-F238E27FC236}">
              <a16:creationId xmlns:a16="http://schemas.microsoft.com/office/drawing/2014/main" id="{7D97A275-CCF6-4C6E-A634-457158C97FD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709" name="AutoShape 4" descr="http://www.cristaleriasmartinez.com.mx/img/THUSLRCF0860.jpg">
          <a:extLst>
            <a:ext uri="{FF2B5EF4-FFF2-40B4-BE49-F238E27FC236}">
              <a16:creationId xmlns:a16="http://schemas.microsoft.com/office/drawing/2014/main" id="{47124E13-DB1F-44C7-821E-5CE6C10999B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710" name="AutoShape 4" descr="http://www.cristaleriasmartinez.com.mx/img/THUSLRCF0860.jpg">
          <a:extLst>
            <a:ext uri="{FF2B5EF4-FFF2-40B4-BE49-F238E27FC236}">
              <a16:creationId xmlns:a16="http://schemas.microsoft.com/office/drawing/2014/main" id="{425D11C9-E2DC-44C3-B1E5-A9AB2A88F17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711" name="AutoShape 4" descr="http://www.cristaleriasmartinez.com.mx/img/THUSLRCF0860.jpg">
          <a:extLst>
            <a:ext uri="{FF2B5EF4-FFF2-40B4-BE49-F238E27FC236}">
              <a16:creationId xmlns:a16="http://schemas.microsoft.com/office/drawing/2014/main" id="{6BADF59C-4E83-4A38-81B2-50DCB9383DF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712" name="AutoShape 4" descr="http://www.cristaleriasmartinez.com.mx/img/THUSLRCF0860.jpg">
          <a:extLst>
            <a:ext uri="{FF2B5EF4-FFF2-40B4-BE49-F238E27FC236}">
              <a16:creationId xmlns:a16="http://schemas.microsoft.com/office/drawing/2014/main" id="{32136DB1-2960-4A25-AB93-0011E49FFE7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713" name="AutoShape 4" descr="http://www.cristaleriasmartinez.com.mx/img/THUSLRCF0860.jpg">
          <a:extLst>
            <a:ext uri="{FF2B5EF4-FFF2-40B4-BE49-F238E27FC236}">
              <a16:creationId xmlns:a16="http://schemas.microsoft.com/office/drawing/2014/main" id="{80E962F2-9F92-461C-82D0-B902077B564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714" name="AutoShape 4" descr="http://www.cristaleriasmartinez.com.mx/img/THUSLRCF0860.jpg">
          <a:extLst>
            <a:ext uri="{FF2B5EF4-FFF2-40B4-BE49-F238E27FC236}">
              <a16:creationId xmlns:a16="http://schemas.microsoft.com/office/drawing/2014/main" id="{3329DDCE-A0DF-40AB-9B43-D9863569214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715" name="AutoShape 4" descr="http://www.cristaleriasmartinez.com.mx/img/THUSLRCF0860.jpg">
          <a:extLst>
            <a:ext uri="{FF2B5EF4-FFF2-40B4-BE49-F238E27FC236}">
              <a16:creationId xmlns:a16="http://schemas.microsoft.com/office/drawing/2014/main" id="{4C702AFC-2428-4353-B5ED-CEA5A76F323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716" name="AutoShape 4" descr="http://www.cristaleriasmartinez.com.mx/img/THUSLRCF0860.jpg">
          <a:extLst>
            <a:ext uri="{FF2B5EF4-FFF2-40B4-BE49-F238E27FC236}">
              <a16:creationId xmlns:a16="http://schemas.microsoft.com/office/drawing/2014/main" id="{95793208-06F0-4803-9154-DB318241E15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717" name="AutoShape 4" descr="http://www.cristaleriasmartinez.com.mx/img/THUSLRCF0860.jpg">
          <a:extLst>
            <a:ext uri="{FF2B5EF4-FFF2-40B4-BE49-F238E27FC236}">
              <a16:creationId xmlns:a16="http://schemas.microsoft.com/office/drawing/2014/main" id="{54EFE731-66DD-4132-83D6-338B04BCCCC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718" name="AutoShape 4" descr="http://www.cristaleriasmartinez.com.mx/img/THUSLRCF0860.jpg">
          <a:extLst>
            <a:ext uri="{FF2B5EF4-FFF2-40B4-BE49-F238E27FC236}">
              <a16:creationId xmlns:a16="http://schemas.microsoft.com/office/drawing/2014/main" id="{276656C1-2F38-4A8F-A8A9-62E08CAFE7B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719" name="AutoShape 4" descr="http://www.cristaleriasmartinez.com.mx/img/THUSLRCF0860.jpg">
          <a:extLst>
            <a:ext uri="{FF2B5EF4-FFF2-40B4-BE49-F238E27FC236}">
              <a16:creationId xmlns:a16="http://schemas.microsoft.com/office/drawing/2014/main" id="{886F7A11-65D5-40CC-B7CF-A7F725B0F69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720" name="AutoShape 4" descr="http://www.cristaleriasmartinez.com.mx/img/THUSLRCF0860.jpg">
          <a:extLst>
            <a:ext uri="{FF2B5EF4-FFF2-40B4-BE49-F238E27FC236}">
              <a16:creationId xmlns:a16="http://schemas.microsoft.com/office/drawing/2014/main" id="{D11DEDB2-15AF-4C6E-83E7-4441BF45E1D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721" name="AutoShape 4" descr="http://www.cristaleriasmartinez.com.mx/img/THUSLRCF0860.jpg">
          <a:extLst>
            <a:ext uri="{FF2B5EF4-FFF2-40B4-BE49-F238E27FC236}">
              <a16:creationId xmlns:a16="http://schemas.microsoft.com/office/drawing/2014/main" id="{D904C248-0973-421C-AEE8-B16DE3B9AFF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722" name="AutoShape 4" descr="http://www.cristaleriasmartinez.com.mx/img/THUSLRCF0860.jpg">
          <a:extLst>
            <a:ext uri="{FF2B5EF4-FFF2-40B4-BE49-F238E27FC236}">
              <a16:creationId xmlns:a16="http://schemas.microsoft.com/office/drawing/2014/main" id="{06267039-955A-4CFA-B746-5741544D620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723" name="AutoShape 4" descr="http://www.cristaleriasmartinez.com.mx/img/THUSLRCF0860.jpg">
          <a:extLst>
            <a:ext uri="{FF2B5EF4-FFF2-40B4-BE49-F238E27FC236}">
              <a16:creationId xmlns:a16="http://schemas.microsoft.com/office/drawing/2014/main" id="{6C703B6D-9ED2-4486-8CA8-78B4B3CFA2C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724" name="AutoShape 4" descr="http://www.cristaleriasmartinez.com.mx/img/THUSLRCF0860.jpg">
          <a:extLst>
            <a:ext uri="{FF2B5EF4-FFF2-40B4-BE49-F238E27FC236}">
              <a16:creationId xmlns:a16="http://schemas.microsoft.com/office/drawing/2014/main" id="{2E7CAD5C-62BE-4EE4-91A0-40A869C6FB5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725" name="AutoShape 4" descr="http://www.cristaleriasmartinez.com.mx/img/THUSLRCF0860.jpg">
          <a:extLst>
            <a:ext uri="{FF2B5EF4-FFF2-40B4-BE49-F238E27FC236}">
              <a16:creationId xmlns:a16="http://schemas.microsoft.com/office/drawing/2014/main" id="{1A6A987A-3D98-41ED-B3A4-77AFCFA8C20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18</xdr:row>
      <xdr:rowOff>0</xdr:rowOff>
    </xdr:from>
    <xdr:ext cx="758825" cy="186267"/>
    <xdr:sp macro="" textlink="">
      <xdr:nvSpPr>
        <xdr:cNvPr id="726" name="AutoShape 4" descr="http://www.cristaleriasmartinez.com.mx/img/THUSLRCF0860.jpg">
          <a:extLst>
            <a:ext uri="{FF2B5EF4-FFF2-40B4-BE49-F238E27FC236}">
              <a16:creationId xmlns:a16="http://schemas.microsoft.com/office/drawing/2014/main" id="{3E2988C2-7390-49FE-B344-AAEDADAFEAA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7353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451" name="AutoShape 4" descr="http://www.cristaleriasmartinez.com.mx/img/THUSLRCF0860.jpg">
          <a:extLst>
            <a:ext uri="{FF2B5EF4-FFF2-40B4-BE49-F238E27FC236}">
              <a16:creationId xmlns:a16="http://schemas.microsoft.com/office/drawing/2014/main" id="{967E71EB-307A-4353-B496-48612F42AA2F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105" name="AutoShape 4" descr="http://www.cristaleriasmartinez.com.mx/img/THUSLRCF0860.jpg">
          <a:extLst>
            <a:ext uri="{FF2B5EF4-FFF2-40B4-BE49-F238E27FC236}">
              <a16:creationId xmlns:a16="http://schemas.microsoft.com/office/drawing/2014/main" id="{50832D33-50B7-417F-96C0-B08E4ADCFA3F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106" name="AutoShape 4" descr="http://www.cristaleriasmartinez.com.mx/img/THUSLRCF0860.jpg">
          <a:extLst>
            <a:ext uri="{FF2B5EF4-FFF2-40B4-BE49-F238E27FC236}">
              <a16:creationId xmlns:a16="http://schemas.microsoft.com/office/drawing/2014/main" id="{BCFD5556-E244-41C6-B130-06330E759CB7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108" name="AutoShape 4" descr="http://www.cristaleriasmartinez.com.mx/img/THUSLRCF0860.jpg">
          <a:extLst>
            <a:ext uri="{FF2B5EF4-FFF2-40B4-BE49-F238E27FC236}">
              <a16:creationId xmlns:a16="http://schemas.microsoft.com/office/drawing/2014/main" id="{64C510D7-3D70-43F6-A12B-B5A05A3B2543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110" name="AutoShape 4" descr="http://www.cristaleriasmartinez.com.mx/img/THUSLRCF0860.jpg">
          <a:extLst>
            <a:ext uri="{FF2B5EF4-FFF2-40B4-BE49-F238E27FC236}">
              <a16:creationId xmlns:a16="http://schemas.microsoft.com/office/drawing/2014/main" id="{0825560A-CB33-4E30-BE4D-64B92BD986EE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111" name="AutoShape 4" descr="http://www.cristaleriasmartinez.com.mx/img/THUSLRCF0860.jpg">
          <a:extLst>
            <a:ext uri="{FF2B5EF4-FFF2-40B4-BE49-F238E27FC236}">
              <a16:creationId xmlns:a16="http://schemas.microsoft.com/office/drawing/2014/main" id="{8A769798-F89F-443E-90F4-4FBC01002FED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130" name="AutoShape 4" descr="http://www.cristaleriasmartinez.com.mx/img/THUSLRCF0860.jpg">
          <a:extLst>
            <a:ext uri="{FF2B5EF4-FFF2-40B4-BE49-F238E27FC236}">
              <a16:creationId xmlns:a16="http://schemas.microsoft.com/office/drawing/2014/main" id="{0BBA8372-0A91-46B9-8973-E746AB56B93E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131" name="AutoShape 4" descr="http://www.cristaleriasmartinez.com.mx/img/THUSLRCF0860.jpg">
          <a:extLst>
            <a:ext uri="{FF2B5EF4-FFF2-40B4-BE49-F238E27FC236}">
              <a16:creationId xmlns:a16="http://schemas.microsoft.com/office/drawing/2014/main" id="{C70A1DC3-2A36-4BB6-A853-8936C0F078BE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132" name="AutoShape 4" descr="http://www.cristaleriasmartinez.com.mx/img/THUSLRCF0860.jpg">
          <a:extLst>
            <a:ext uri="{FF2B5EF4-FFF2-40B4-BE49-F238E27FC236}">
              <a16:creationId xmlns:a16="http://schemas.microsoft.com/office/drawing/2014/main" id="{5CE7D2A6-738E-4FA0-A71A-E54C322EBD7C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148" name="AutoShape 4" descr="http://www.cristaleriasmartinez.com.mx/img/THUSLRCF0860.jpg">
          <a:extLst>
            <a:ext uri="{FF2B5EF4-FFF2-40B4-BE49-F238E27FC236}">
              <a16:creationId xmlns:a16="http://schemas.microsoft.com/office/drawing/2014/main" id="{73B7B3BD-4229-4E93-A22E-03B953951CB4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149" name="AutoShape 4" descr="http://www.cristaleriasmartinez.com.mx/img/THUSLRCF0860.jpg">
          <a:extLst>
            <a:ext uri="{FF2B5EF4-FFF2-40B4-BE49-F238E27FC236}">
              <a16:creationId xmlns:a16="http://schemas.microsoft.com/office/drawing/2014/main" id="{5DEC7FA2-F583-436C-9DB2-7A465FD4BC25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163" name="AutoShape 4" descr="http://www.cristaleriasmartinez.com.mx/img/THUSLRCF0860.jpg">
          <a:extLst>
            <a:ext uri="{FF2B5EF4-FFF2-40B4-BE49-F238E27FC236}">
              <a16:creationId xmlns:a16="http://schemas.microsoft.com/office/drawing/2014/main" id="{791C9B1C-D98B-49CC-BA5D-6ADA488CC0FA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165" name="AutoShape 4" descr="http://www.cristaleriasmartinez.com.mx/img/THUSLRCF0860.jpg">
          <a:extLst>
            <a:ext uri="{FF2B5EF4-FFF2-40B4-BE49-F238E27FC236}">
              <a16:creationId xmlns:a16="http://schemas.microsoft.com/office/drawing/2014/main" id="{3E985F42-D512-4CDF-9929-91AFEABE78B6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166" name="AutoShape 4" descr="http://www.cristaleriasmartinez.com.mx/img/THUSLRCF0860.jpg">
          <a:extLst>
            <a:ext uri="{FF2B5EF4-FFF2-40B4-BE49-F238E27FC236}">
              <a16:creationId xmlns:a16="http://schemas.microsoft.com/office/drawing/2014/main" id="{B7AA002A-055E-4339-9F63-8AB11E480AED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167" name="AutoShape 4" descr="http://www.cristaleriasmartinez.com.mx/img/THUSLRCF0860.jpg">
          <a:extLst>
            <a:ext uri="{FF2B5EF4-FFF2-40B4-BE49-F238E27FC236}">
              <a16:creationId xmlns:a16="http://schemas.microsoft.com/office/drawing/2014/main" id="{B89EECA1-E098-4FC1-9C55-F797FB4E09E2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183" name="AutoShape 4" descr="http://www.cristaleriasmartinez.com.mx/img/THUSLRCF0860.jpg">
          <a:extLst>
            <a:ext uri="{FF2B5EF4-FFF2-40B4-BE49-F238E27FC236}">
              <a16:creationId xmlns:a16="http://schemas.microsoft.com/office/drawing/2014/main" id="{575BDE93-06CE-4543-92B7-09C27CFD1049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184" name="AutoShape 4" descr="http://www.cristaleriasmartinez.com.mx/img/THUSLRCF0860.jpg">
          <a:extLst>
            <a:ext uri="{FF2B5EF4-FFF2-40B4-BE49-F238E27FC236}">
              <a16:creationId xmlns:a16="http://schemas.microsoft.com/office/drawing/2014/main" id="{14B6985A-6C1B-4A6D-8994-68A54E8C5733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185" name="AutoShape 4" descr="http://www.cristaleriasmartinez.com.mx/img/THUSLRCF0860.jpg">
          <a:extLst>
            <a:ext uri="{FF2B5EF4-FFF2-40B4-BE49-F238E27FC236}">
              <a16:creationId xmlns:a16="http://schemas.microsoft.com/office/drawing/2014/main" id="{CBACE771-77AF-45F4-9168-94FA0B0F1A26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186" name="AutoShape 4" descr="http://www.cristaleriasmartinez.com.mx/img/THUSLRCF0860.jpg">
          <a:extLst>
            <a:ext uri="{FF2B5EF4-FFF2-40B4-BE49-F238E27FC236}">
              <a16:creationId xmlns:a16="http://schemas.microsoft.com/office/drawing/2014/main" id="{20549325-25F8-4890-9F38-E201944CB0C7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203" name="AutoShape 4" descr="http://www.cristaleriasmartinez.com.mx/img/THUSLRCF0860.jpg">
          <a:extLst>
            <a:ext uri="{FF2B5EF4-FFF2-40B4-BE49-F238E27FC236}">
              <a16:creationId xmlns:a16="http://schemas.microsoft.com/office/drawing/2014/main" id="{2D8D988E-876F-4A52-9FC2-77528CB7FDD8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221" name="AutoShape 4" descr="http://www.cristaleriasmartinez.com.mx/img/THUSLRCF0860.jpg">
          <a:extLst>
            <a:ext uri="{FF2B5EF4-FFF2-40B4-BE49-F238E27FC236}">
              <a16:creationId xmlns:a16="http://schemas.microsoft.com/office/drawing/2014/main" id="{42143351-7F22-43BF-B912-81B3C47694F2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222" name="AutoShape 4" descr="http://www.cristaleriasmartinez.com.mx/img/THUSLRCF0860.jpg">
          <a:extLst>
            <a:ext uri="{FF2B5EF4-FFF2-40B4-BE49-F238E27FC236}">
              <a16:creationId xmlns:a16="http://schemas.microsoft.com/office/drawing/2014/main" id="{BA66FD37-C345-4AFF-810E-6DDA064CBEBB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644" name="AutoShape 4" descr="http://www.cristaleriasmartinez.com.mx/img/THUSLRCF0860.jpg">
          <a:extLst>
            <a:ext uri="{FF2B5EF4-FFF2-40B4-BE49-F238E27FC236}">
              <a16:creationId xmlns:a16="http://schemas.microsoft.com/office/drawing/2014/main" id="{73173CEA-3B6E-40BB-B47B-FD2A6403650A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645" name="AutoShape 4" descr="http://www.cristaleriasmartinez.com.mx/img/THUSLRCF0860.jpg">
          <a:extLst>
            <a:ext uri="{FF2B5EF4-FFF2-40B4-BE49-F238E27FC236}">
              <a16:creationId xmlns:a16="http://schemas.microsoft.com/office/drawing/2014/main" id="{CDF0EE66-B52A-405D-B835-B3BD69852C21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661" name="AutoShape 4" descr="http://www.cristaleriasmartinez.com.mx/img/THUSLRCF0860.jpg">
          <a:extLst>
            <a:ext uri="{FF2B5EF4-FFF2-40B4-BE49-F238E27FC236}">
              <a16:creationId xmlns:a16="http://schemas.microsoft.com/office/drawing/2014/main" id="{B20D0FE2-ADA1-42CA-B863-4A8C1B721EFA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662" name="AutoShape 4" descr="http://www.cristaleriasmartinez.com.mx/img/THUSLRCF0860.jpg">
          <a:extLst>
            <a:ext uri="{FF2B5EF4-FFF2-40B4-BE49-F238E27FC236}">
              <a16:creationId xmlns:a16="http://schemas.microsoft.com/office/drawing/2014/main" id="{01D92B4B-B0C5-4B9C-8AD4-B31A2BE1FE65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663" name="AutoShape 4" descr="http://www.cristaleriasmartinez.com.mx/img/THUSLRCF0860.jpg">
          <a:extLst>
            <a:ext uri="{FF2B5EF4-FFF2-40B4-BE49-F238E27FC236}">
              <a16:creationId xmlns:a16="http://schemas.microsoft.com/office/drawing/2014/main" id="{CF27A5F0-D30C-4897-BC8A-0666C149486A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664" name="AutoShape 4" descr="http://www.cristaleriasmartinez.com.mx/img/THUSLRCF0860.jpg">
          <a:extLst>
            <a:ext uri="{FF2B5EF4-FFF2-40B4-BE49-F238E27FC236}">
              <a16:creationId xmlns:a16="http://schemas.microsoft.com/office/drawing/2014/main" id="{7370471A-8678-4534-A503-744E351E5207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286" name="AutoShape 4" descr="http://www.cristaleriasmartinez.com.mx/img/THUSLRCF0860.jpg">
          <a:extLst>
            <a:ext uri="{FF2B5EF4-FFF2-40B4-BE49-F238E27FC236}">
              <a16:creationId xmlns:a16="http://schemas.microsoft.com/office/drawing/2014/main" id="{38558245-5C7D-4310-8FA5-E34BB2956F4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287" name="AutoShape 4" descr="http://www.cristaleriasmartinez.com.mx/img/THUSLRCF0860.jpg">
          <a:extLst>
            <a:ext uri="{FF2B5EF4-FFF2-40B4-BE49-F238E27FC236}">
              <a16:creationId xmlns:a16="http://schemas.microsoft.com/office/drawing/2014/main" id="{CD04C5B6-5812-4467-9471-E8BD1184E964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304" name="AutoShape 4" descr="http://www.cristaleriasmartinez.com.mx/img/THUSLRCF0860.jpg">
          <a:extLst>
            <a:ext uri="{FF2B5EF4-FFF2-40B4-BE49-F238E27FC236}">
              <a16:creationId xmlns:a16="http://schemas.microsoft.com/office/drawing/2014/main" id="{4E3028CF-B59E-4B84-8361-8ED8881BC724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27" name="AutoShape 4" descr="http://www.cristaleriasmartinez.com.mx/img/THUSLRCF0860.jpg">
          <a:extLst>
            <a:ext uri="{FF2B5EF4-FFF2-40B4-BE49-F238E27FC236}">
              <a16:creationId xmlns:a16="http://schemas.microsoft.com/office/drawing/2014/main" id="{31C166E8-F6E7-4575-932F-AA8D53666C2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28" name="AutoShape 4" descr="http://www.cristaleriasmartinez.com.mx/img/THUSLRCF0860.jpg">
          <a:extLst>
            <a:ext uri="{FF2B5EF4-FFF2-40B4-BE49-F238E27FC236}">
              <a16:creationId xmlns:a16="http://schemas.microsoft.com/office/drawing/2014/main" id="{F306D653-212E-4707-B760-84FDCFCDB8D2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29" name="AutoShape 4" descr="http://www.cristaleriasmartinez.com.mx/img/THUSLRCF0860.jpg">
          <a:extLst>
            <a:ext uri="{FF2B5EF4-FFF2-40B4-BE49-F238E27FC236}">
              <a16:creationId xmlns:a16="http://schemas.microsoft.com/office/drawing/2014/main" id="{6CF5717B-9066-4D09-8C31-E3F01928C0B4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30" name="AutoShape 4" descr="http://www.cristaleriasmartinez.com.mx/img/THUSLRCF0860.jpg">
          <a:extLst>
            <a:ext uri="{FF2B5EF4-FFF2-40B4-BE49-F238E27FC236}">
              <a16:creationId xmlns:a16="http://schemas.microsoft.com/office/drawing/2014/main" id="{267C90FA-21EF-4FA9-90F7-AE351B8C5224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31" name="AutoShape 4" descr="http://www.cristaleriasmartinez.com.mx/img/THUSLRCF0860.jpg">
          <a:extLst>
            <a:ext uri="{FF2B5EF4-FFF2-40B4-BE49-F238E27FC236}">
              <a16:creationId xmlns:a16="http://schemas.microsoft.com/office/drawing/2014/main" id="{35A0B415-4850-42CC-8603-6955CF55F3E9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32" name="AutoShape 4" descr="http://www.cristaleriasmartinez.com.mx/img/THUSLRCF0860.jpg">
          <a:extLst>
            <a:ext uri="{FF2B5EF4-FFF2-40B4-BE49-F238E27FC236}">
              <a16:creationId xmlns:a16="http://schemas.microsoft.com/office/drawing/2014/main" id="{34258B15-FF5F-45D9-8EF8-A232780F03A6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33" name="AutoShape 4" descr="http://www.cristaleriasmartinez.com.mx/img/THUSLRCF0860.jpg">
          <a:extLst>
            <a:ext uri="{FF2B5EF4-FFF2-40B4-BE49-F238E27FC236}">
              <a16:creationId xmlns:a16="http://schemas.microsoft.com/office/drawing/2014/main" id="{C51F9EB1-03AD-4163-B30A-996DAD54C144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34" name="AutoShape 4" descr="http://www.cristaleriasmartinez.com.mx/img/THUSLRCF0860.jpg">
          <a:extLst>
            <a:ext uri="{FF2B5EF4-FFF2-40B4-BE49-F238E27FC236}">
              <a16:creationId xmlns:a16="http://schemas.microsoft.com/office/drawing/2014/main" id="{78C3F09D-51CA-466E-B8C4-00EC0FD40004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35" name="AutoShape 4" descr="http://www.cristaleriasmartinez.com.mx/img/THUSLRCF0860.jpg">
          <a:extLst>
            <a:ext uri="{FF2B5EF4-FFF2-40B4-BE49-F238E27FC236}">
              <a16:creationId xmlns:a16="http://schemas.microsoft.com/office/drawing/2014/main" id="{09CEE9EB-40BB-480B-9A81-16302D0EF474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36" name="AutoShape 4" descr="http://www.cristaleriasmartinez.com.mx/img/THUSLRCF0860.jpg">
          <a:extLst>
            <a:ext uri="{FF2B5EF4-FFF2-40B4-BE49-F238E27FC236}">
              <a16:creationId xmlns:a16="http://schemas.microsoft.com/office/drawing/2014/main" id="{939CFCE3-97BE-436F-AC66-94A3D1F975C8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37" name="AutoShape 4" descr="http://www.cristaleriasmartinez.com.mx/img/THUSLRCF0860.jpg">
          <a:extLst>
            <a:ext uri="{FF2B5EF4-FFF2-40B4-BE49-F238E27FC236}">
              <a16:creationId xmlns:a16="http://schemas.microsoft.com/office/drawing/2014/main" id="{2CFBE321-6FAC-4B9C-A09C-2ABA609A4B1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38" name="AutoShape 4" descr="http://www.cristaleriasmartinez.com.mx/img/THUSLRCF0860.jpg">
          <a:extLst>
            <a:ext uri="{FF2B5EF4-FFF2-40B4-BE49-F238E27FC236}">
              <a16:creationId xmlns:a16="http://schemas.microsoft.com/office/drawing/2014/main" id="{758B2579-E74D-458A-92FC-B221047E394B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39" name="AutoShape 4" descr="http://www.cristaleriasmartinez.com.mx/img/THUSLRCF0860.jpg">
          <a:extLst>
            <a:ext uri="{FF2B5EF4-FFF2-40B4-BE49-F238E27FC236}">
              <a16:creationId xmlns:a16="http://schemas.microsoft.com/office/drawing/2014/main" id="{4E23CD65-EFF2-4D1B-9473-507B8ECF2B69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40" name="AutoShape 4" descr="http://www.cristaleriasmartinez.com.mx/img/THUSLRCF0860.jpg">
          <a:extLst>
            <a:ext uri="{FF2B5EF4-FFF2-40B4-BE49-F238E27FC236}">
              <a16:creationId xmlns:a16="http://schemas.microsoft.com/office/drawing/2014/main" id="{768EFABA-B2E2-4B72-BBBB-D8B242942C6A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41" name="AutoShape 4" descr="http://www.cristaleriasmartinez.com.mx/img/THUSLRCF0860.jpg">
          <a:extLst>
            <a:ext uri="{FF2B5EF4-FFF2-40B4-BE49-F238E27FC236}">
              <a16:creationId xmlns:a16="http://schemas.microsoft.com/office/drawing/2014/main" id="{613FDE5E-44BB-4319-AFB2-3E9C14172DAE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42" name="AutoShape 4" descr="http://www.cristaleriasmartinez.com.mx/img/THUSLRCF0860.jpg">
          <a:extLst>
            <a:ext uri="{FF2B5EF4-FFF2-40B4-BE49-F238E27FC236}">
              <a16:creationId xmlns:a16="http://schemas.microsoft.com/office/drawing/2014/main" id="{971A07A9-E12D-490A-BFE9-88FA0B7975C3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43" name="AutoShape 4" descr="http://www.cristaleriasmartinez.com.mx/img/THUSLRCF0860.jpg">
          <a:extLst>
            <a:ext uri="{FF2B5EF4-FFF2-40B4-BE49-F238E27FC236}">
              <a16:creationId xmlns:a16="http://schemas.microsoft.com/office/drawing/2014/main" id="{9F071767-1221-4EE7-ACBE-0CA4B489284E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44" name="AutoShape 4" descr="http://www.cristaleriasmartinez.com.mx/img/THUSLRCF0860.jpg">
          <a:extLst>
            <a:ext uri="{FF2B5EF4-FFF2-40B4-BE49-F238E27FC236}">
              <a16:creationId xmlns:a16="http://schemas.microsoft.com/office/drawing/2014/main" id="{A6A3977D-840A-463E-AD8A-E99E0304315D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45" name="AutoShape 4" descr="http://www.cristaleriasmartinez.com.mx/img/THUSLRCF0860.jpg">
          <a:extLst>
            <a:ext uri="{FF2B5EF4-FFF2-40B4-BE49-F238E27FC236}">
              <a16:creationId xmlns:a16="http://schemas.microsoft.com/office/drawing/2014/main" id="{171BC712-72D8-4E0E-8244-4F6D89A42977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46" name="AutoShape 4" descr="http://www.cristaleriasmartinez.com.mx/img/THUSLRCF0860.jpg">
          <a:extLst>
            <a:ext uri="{FF2B5EF4-FFF2-40B4-BE49-F238E27FC236}">
              <a16:creationId xmlns:a16="http://schemas.microsoft.com/office/drawing/2014/main" id="{D80429E8-3331-401C-A0CB-84AE7062DCBD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47" name="AutoShape 4" descr="http://www.cristaleriasmartinez.com.mx/img/THUSLRCF0860.jpg">
          <a:extLst>
            <a:ext uri="{FF2B5EF4-FFF2-40B4-BE49-F238E27FC236}">
              <a16:creationId xmlns:a16="http://schemas.microsoft.com/office/drawing/2014/main" id="{0CAC5383-F55C-4420-B4D5-B2D02ACE712A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48" name="AutoShape 4" descr="http://www.cristaleriasmartinez.com.mx/img/THUSLRCF0860.jpg">
          <a:extLst>
            <a:ext uri="{FF2B5EF4-FFF2-40B4-BE49-F238E27FC236}">
              <a16:creationId xmlns:a16="http://schemas.microsoft.com/office/drawing/2014/main" id="{E3FAA946-99F1-41DB-85BB-4377081053BA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49" name="AutoShape 4" descr="http://www.cristaleriasmartinez.com.mx/img/THUSLRCF0860.jpg">
          <a:extLst>
            <a:ext uri="{FF2B5EF4-FFF2-40B4-BE49-F238E27FC236}">
              <a16:creationId xmlns:a16="http://schemas.microsoft.com/office/drawing/2014/main" id="{E4D07ACD-4219-43F8-843B-51DD9C67EF9B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50" name="AutoShape 4" descr="http://www.cristaleriasmartinez.com.mx/img/THUSLRCF0860.jpg">
          <a:extLst>
            <a:ext uri="{FF2B5EF4-FFF2-40B4-BE49-F238E27FC236}">
              <a16:creationId xmlns:a16="http://schemas.microsoft.com/office/drawing/2014/main" id="{2253E5CC-D8B3-4BEE-B157-986BB171A94E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51" name="AutoShape 4" descr="http://www.cristaleriasmartinez.com.mx/img/THUSLRCF0860.jpg">
          <a:extLst>
            <a:ext uri="{FF2B5EF4-FFF2-40B4-BE49-F238E27FC236}">
              <a16:creationId xmlns:a16="http://schemas.microsoft.com/office/drawing/2014/main" id="{1AAC8FC6-063D-4AB6-95E7-A247F2B22A58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52" name="AutoShape 4" descr="http://www.cristaleriasmartinez.com.mx/img/THUSLRCF0860.jpg">
          <a:extLst>
            <a:ext uri="{FF2B5EF4-FFF2-40B4-BE49-F238E27FC236}">
              <a16:creationId xmlns:a16="http://schemas.microsoft.com/office/drawing/2014/main" id="{5DE83BE2-BCFB-46CD-B787-3E3C0E1016B9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53" name="AutoShape 4" descr="http://www.cristaleriasmartinez.com.mx/img/THUSLRCF0860.jpg">
          <a:extLst>
            <a:ext uri="{FF2B5EF4-FFF2-40B4-BE49-F238E27FC236}">
              <a16:creationId xmlns:a16="http://schemas.microsoft.com/office/drawing/2014/main" id="{491101E8-F180-4C6A-9C5E-0D94880B0BC6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54" name="AutoShape 4" descr="http://www.cristaleriasmartinez.com.mx/img/THUSLRCF0860.jpg">
          <a:extLst>
            <a:ext uri="{FF2B5EF4-FFF2-40B4-BE49-F238E27FC236}">
              <a16:creationId xmlns:a16="http://schemas.microsoft.com/office/drawing/2014/main" id="{31BF2850-2A09-4901-AB8E-E7806BAB007A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55" name="AutoShape 4" descr="http://www.cristaleriasmartinez.com.mx/img/THUSLRCF0860.jpg">
          <a:extLst>
            <a:ext uri="{FF2B5EF4-FFF2-40B4-BE49-F238E27FC236}">
              <a16:creationId xmlns:a16="http://schemas.microsoft.com/office/drawing/2014/main" id="{1B57892C-CA90-4D6E-AF0D-3838A3D00872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56" name="AutoShape 4" descr="http://www.cristaleriasmartinez.com.mx/img/THUSLRCF0860.jpg">
          <a:extLst>
            <a:ext uri="{FF2B5EF4-FFF2-40B4-BE49-F238E27FC236}">
              <a16:creationId xmlns:a16="http://schemas.microsoft.com/office/drawing/2014/main" id="{B7EED10C-5069-4711-AC98-5287E7207DC6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57" name="AutoShape 4" descr="http://www.cristaleriasmartinez.com.mx/img/THUSLRCF0860.jpg">
          <a:extLst>
            <a:ext uri="{FF2B5EF4-FFF2-40B4-BE49-F238E27FC236}">
              <a16:creationId xmlns:a16="http://schemas.microsoft.com/office/drawing/2014/main" id="{95EE0F78-6930-4073-86C0-0A2BE36AE32F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58" name="AutoShape 4" descr="http://www.cristaleriasmartinez.com.mx/img/THUSLRCF0860.jpg">
          <a:extLst>
            <a:ext uri="{FF2B5EF4-FFF2-40B4-BE49-F238E27FC236}">
              <a16:creationId xmlns:a16="http://schemas.microsoft.com/office/drawing/2014/main" id="{47E7E7AA-F7BE-4ADE-B54A-8EE2460BCE46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59" name="AutoShape 4" descr="http://www.cristaleriasmartinez.com.mx/img/THUSLRCF0860.jpg">
          <a:extLst>
            <a:ext uri="{FF2B5EF4-FFF2-40B4-BE49-F238E27FC236}">
              <a16:creationId xmlns:a16="http://schemas.microsoft.com/office/drawing/2014/main" id="{A6AF09D1-D946-48F7-BA3A-BAFA80F82B7E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60" name="AutoShape 4" descr="http://www.cristaleriasmartinez.com.mx/img/THUSLRCF0860.jpg">
          <a:extLst>
            <a:ext uri="{FF2B5EF4-FFF2-40B4-BE49-F238E27FC236}">
              <a16:creationId xmlns:a16="http://schemas.microsoft.com/office/drawing/2014/main" id="{58FDCD3F-AFED-438A-9E27-D3DB1B0ABF4B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61" name="AutoShape 4" descr="http://www.cristaleriasmartinez.com.mx/img/THUSLRCF0860.jpg">
          <a:extLst>
            <a:ext uri="{FF2B5EF4-FFF2-40B4-BE49-F238E27FC236}">
              <a16:creationId xmlns:a16="http://schemas.microsoft.com/office/drawing/2014/main" id="{06658318-F7F2-46E1-B867-C70CDE32C837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62" name="AutoShape 4" descr="http://www.cristaleriasmartinez.com.mx/img/THUSLRCF0860.jpg">
          <a:extLst>
            <a:ext uri="{FF2B5EF4-FFF2-40B4-BE49-F238E27FC236}">
              <a16:creationId xmlns:a16="http://schemas.microsoft.com/office/drawing/2014/main" id="{9E7BA1D3-AF9A-49C3-AD51-D3454D2B61B3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63" name="AutoShape 4" descr="http://www.cristaleriasmartinez.com.mx/img/THUSLRCF0860.jpg">
          <a:extLst>
            <a:ext uri="{FF2B5EF4-FFF2-40B4-BE49-F238E27FC236}">
              <a16:creationId xmlns:a16="http://schemas.microsoft.com/office/drawing/2014/main" id="{8007A3CB-6005-4FCF-BAA1-1D2DEC3B6CDC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64" name="AutoShape 4" descr="http://www.cristaleriasmartinez.com.mx/img/THUSLRCF0860.jpg">
          <a:extLst>
            <a:ext uri="{FF2B5EF4-FFF2-40B4-BE49-F238E27FC236}">
              <a16:creationId xmlns:a16="http://schemas.microsoft.com/office/drawing/2014/main" id="{0F7108B1-6C6F-4B66-9613-51FBCF9E878D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65" name="AutoShape 4" descr="http://www.cristaleriasmartinez.com.mx/img/THUSLRCF0860.jpg">
          <a:extLst>
            <a:ext uri="{FF2B5EF4-FFF2-40B4-BE49-F238E27FC236}">
              <a16:creationId xmlns:a16="http://schemas.microsoft.com/office/drawing/2014/main" id="{0146A192-8DCD-484E-A6FB-C6890E4FA4B8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66" name="AutoShape 4" descr="http://www.cristaleriasmartinez.com.mx/img/THUSLRCF0860.jpg">
          <a:extLst>
            <a:ext uri="{FF2B5EF4-FFF2-40B4-BE49-F238E27FC236}">
              <a16:creationId xmlns:a16="http://schemas.microsoft.com/office/drawing/2014/main" id="{103F6C28-97C4-413B-A08E-0DC968D82725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67" name="AutoShape 4" descr="http://www.cristaleriasmartinez.com.mx/img/THUSLRCF0860.jpg">
          <a:extLst>
            <a:ext uri="{FF2B5EF4-FFF2-40B4-BE49-F238E27FC236}">
              <a16:creationId xmlns:a16="http://schemas.microsoft.com/office/drawing/2014/main" id="{5E1E1F90-366B-4D0D-B711-353B3B57B74D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433" name="AutoShape 4" descr="http://www.cristaleriasmartinez.com.mx/img/THUSLRCF0860.jpg">
          <a:extLst>
            <a:ext uri="{FF2B5EF4-FFF2-40B4-BE49-F238E27FC236}">
              <a16:creationId xmlns:a16="http://schemas.microsoft.com/office/drawing/2014/main" id="{D2B99BC8-7887-4BC6-B799-228CCAF15231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434" name="AutoShape 4" descr="http://www.cristaleriasmartinez.com.mx/img/THUSLRCF0860.jpg">
          <a:extLst>
            <a:ext uri="{FF2B5EF4-FFF2-40B4-BE49-F238E27FC236}">
              <a16:creationId xmlns:a16="http://schemas.microsoft.com/office/drawing/2014/main" id="{CAF58584-2B2C-4711-BFFD-CBBF961FE0DA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68" name="AutoShape 4" descr="http://www.cristaleriasmartinez.com.mx/img/THUSLRCF0860.jpg">
          <a:extLst>
            <a:ext uri="{FF2B5EF4-FFF2-40B4-BE49-F238E27FC236}">
              <a16:creationId xmlns:a16="http://schemas.microsoft.com/office/drawing/2014/main" id="{25B4B9B5-AECE-49FC-8325-4D0F47BE38FD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69" name="AutoShape 4" descr="http://www.cristaleriasmartinez.com.mx/img/THUSLRCF0860.jpg">
          <a:extLst>
            <a:ext uri="{FF2B5EF4-FFF2-40B4-BE49-F238E27FC236}">
              <a16:creationId xmlns:a16="http://schemas.microsoft.com/office/drawing/2014/main" id="{FD9DCFDC-CE5E-4D1A-9B92-A4B14D1CEEFC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70" name="AutoShape 4" descr="http://www.cristaleriasmartinez.com.mx/img/THUSLRCF0860.jpg">
          <a:extLst>
            <a:ext uri="{FF2B5EF4-FFF2-40B4-BE49-F238E27FC236}">
              <a16:creationId xmlns:a16="http://schemas.microsoft.com/office/drawing/2014/main" id="{95790146-74DC-4771-98F7-7DB425FBD42A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71" name="AutoShape 4" descr="http://www.cristaleriasmartinez.com.mx/img/THUSLRCF0860.jpg">
          <a:extLst>
            <a:ext uri="{FF2B5EF4-FFF2-40B4-BE49-F238E27FC236}">
              <a16:creationId xmlns:a16="http://schemas.microsoft.com/office/drawing/2014/main" id="{03926128-8A08-410E-964C-BF0D804241E9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72" name="AutoShape 4" descr="http://www.cristaleriasmartinez.com.mx/img/THUSLRCF0860.jpg">
          <a:extLst>
            <a:ext uri="{FF2B5EF4-FFF2-40B4-BE49-F238E27FC236}">
              <a16:creationId xmlns:a16="http://schemas.microsoft.com/office/drawing/2014/main" id="{5F40EB6E-E774-4EF4-BE0A-5ABCD81D80B5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73" name="AutoShape 4" descr="http://www.cristaleriasmartinez.com.mx/img/THUSLRCF0860.jpg">
          <a:extLst>
            <a:ext uri="{FF2B5EF4-FFF2-40B4-BE49-F238E27FC236}">
              <a16:creationId xmlns:a16="http://schemas.microsoft.com/office/drawing/2014/main" id="{CF691B7C-8F1C-4578-B69A-1FF28AEC508C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74" name="AutoShape 4" descr="http://www.cristaleriasmartinez.com.mx/img/THUSLRCF0860.jpg">
          <a:extLst>
            <a:ext uri="{FF2B5EF4-FFF2-40B4-BE49-F238E27FC236}">
              <a16:creationId xmlns:a16="http://schemas.microsoft.com/office/drawing/2014/main" id="{C99B8602-BB08-4AAD-98E9-21706AB7C9BB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75" name="AutoShape 4" descr="http://www.cristaleriasmartinez.com.mx/img/THUSLRCF0860.jpg">
          <a:extLst>
            <a:ext uri="{FF2B5EF4-FFF2-40B4-BE49-F238E27FC236}">
              <a16:creationId xmlns:a16="http://schemas.microsoft.com/office/drawing/2014/main" id="{8F57926B-B34E-4EC7-8761-EFEADD580FA1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76" name="AutoShape 4" descr="http://www.cristaleriasmartinez.com.mx/img/THUSLRCF0860.jpg">
          <a:extLst>
            <a:ext uri="{FF2B5EF4-FFF2-40B4-BE49-F238E27FC236}">
              <a16:creationId xmlns:a16="http://schemas.microsoft.com/office/drawing/2014/main" id="{5EF1ACFE-EA3F-40F2-9F69-75EEAA847A98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77" name="AutoShape 4" descr="http://www.cristaleriasmartinez.com.mx/img/THUSLRCF0860.jpg">
          <a:extLst>
            <a:ext uri="{FF2B5EF4-FFF2-40B4-BE49-F238E27FC236}">
              <a16:creationId xmlns:a16="http://schemas.microsoft.com/office/drawing/2014/main" id="{CA27C54C-28EA-485E-89DC-7C8A99E2FC31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78" name="AutoShape 4" descr="http://www.cristaleriasmartinez.com.mx/img/THUSLRCF0860.jpg">
          <a:extLst>
            <a:ext uri="{FF2B5EF4-FFF2-40B4-BE49-F238E27FC236}">
              <a16:creationId xmlns:a16="http://schemas.microsoft.com/office/drawing/2014/main" id="{77664248-FE81-4B28-BDC8-2FD59086D0E4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79" name="AutoShape 4" descr="http://www.cristaleriasmartinez.com.mx/img/THUSLRCF0860.jpg">
          <a:extLst>
            <a:ext uri="{FF2B5EF4-FFF2-40B4-BE49-F238E27FC236}">
              <a16:creationId xmlns:a16="http://schemas.microsoft.com/office/drawing/2014/main" id="{26664041-BCA8-4949-A1ED-E4DE0451E1B7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80" name="AutoShape 4" descr="http://www.cristaleriasmartinez.com.mx/img/THUSLRCF0860.jpg">
          <a:extLst>
            <a:ext uri="{FF2B5EF4-FFF2-40B4-BE49-F238E27FC236}">
              <a16:creationId xmlns:a16="http://schemas.microsoft.com/office/drawing/2014/main" id="{441D80C7-29C7-4BCF-9F5D-7A0288C44656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81" name="AutoShape 4" descr="http://www.cristaleriasmartinez.com.mx/img/THUSLRCF0860.jpg">
          <a:extLst>
            <a:ext uri="{FF2B5EF4-FFF2-40B4-BE49-F238E27FC236}">
              <a16:creationId xmlns:a16="http://schemas.microsoft.com/office/drawing/2014/main" id="{2ECCEDB8-61A5-48E1-B291-9EF9F73A442D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82" name="AutoShape 4" descr="http://www.cristaleriasmartinez.com.mx/img/THUSLRCF0860.jpg">
          <a:extLst>
            <a:ext uri="{FF2B5EF4-FFF2-40B4-BE49-F238E27FC236}">
              <a16:creationId xmlns:a16="http://schemas.microsoft.com/office/drawing/2014/main" id="{853B0151-A554-440C-86B0-849473FCED81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83" name="AutoShape 4" descr="http://www.cristaleriasmartinez.com.mx/img/THUSLRCF0860.jpg">
          <a:extLst>
            <a:ext uri="{FF2B5EF4-FFF2-40B4-BE49-F238E27FC236}">
              <a16:creationId xmlns:a16="http://schemas.microsoft.com/office/drawing/2014/main" id="{05189116-B645-4D35-8473-650B9ABD4D34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84" name="AutoShape 4" descr="http://www.cristaleriasmartinez.com.mx/img/THUSLRCF0860.jpg">
          <a:extLst>
            <a:ext uri="{FF2B5EF4-FFF2-40B4-BE49-F238E27FC236}">
              <a16:creationId xmlns:a16="http://schemas.microsoft.com/office/drawing/2014/main" id="{350C3E2F-5E3F-4947-A9C9-3AEAB11956FB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85" name="AutoShape 4" descr="http://www.cristaleriasmartinez.com.mx/img/THUSLRCF0860.jpg">
          <a:extLst>
            <a:ext uri="{FF2B5EF4-FFF2-40B4-BE49-F238E27FC236}">
              <a16:creationId xmlns:a16="http://schemas.microsoft.com/office/drawing/2014/main" id="{EE704450-7EEF-4459-90D4-A9F0C2A5475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86" name="AutoShape 4" descr="http://www.cristaleriasmartinez.com.mx/img/THUSLRCF0860.jpg">
          <a:extLst>
            <a:ext uri="{FF2B5EF4-FFF2-40B4-BE49-F238E27FC236}">
              <a16:creationId xmlns:a16="http://schemas.microsoft.com/office/drawing/2014/main" id="{B690683C-0F89-4516-B1A8-FF6456D5EACB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87" name="AutoShape 4" descr="http://www.cristaleriasmartinez.com.mx/img/THUSLRCF0860.jpg">
          <a:extLst>
            <a:ext uri="{FF2B5EF4-FFF2-40B4-BE49-F238E27FC236}">
              <a16:creationId xmlns:a16="http://schemas.microsoft.com/office/drawing/2014/main" id="{03DF4238-F147-425A-808A-1F506CFC9867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88" name="AutoShape 4" descr="http://www.cristaleriasmartinez.com.mx/img/THUSLRCF0860.jpg">
          <a:extLst>
            <a:ext uri="{FF2B5EF4-FFF2-40B4-BE49-F238E27FC236}">
              <a16:creationId xmlns:a16="http://schemas.microsoft.com/office/drawing/2014/main" id="{3449EF53-7FA9-4E43-9BA8-82D0335D616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89" name="AutoShape 4" descr="http://www.cristaleriasmartinez.com.mx/img/THUSLRCF0860.jpg">
          <a:extLst>
            <a:ext uri="{FF2B5EF4-FFF2-40B4-BE49-F238E27FC236}">
              <a16:creationId xmlns:a16="http://schemas.microsoft.com/office/drawing/2014/main" id="{43468054-39DC-4C6A-929F-2D51FBEEE36E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90" name="AutoShape 4" descr="http://www.cristaleriasmartinez.com.mx/img/THUSLRCF0860.jpg">
          <a:extLst>
            <a:ext uri="{FF2B5EF4-FFF2-40B4-BE49-F238E27FC236}">
              <a16:creationId xmlns:a16="http://schemas.microsoft.com/office/drawing/2014/main" id="{15EF235B-E3BD-4973-88AC-B4BE2CF7259E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91" name="AutoShape 4" descr="http://www.cristaleriasmartinez.com.mx/img/THUSLRCF0860.jpg">
          <a:extLst>
            <a:ext uri="{FF2B5EF4-FFF2-40B4-BE49-F238E27FC236}">
              <a16:creationId xmlns:a16="http://schemas.microsoft.com/office/drawing/2014/main" id="{0ECBFE23-498A-462D-93CF-2079A9A21D1B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92" name="AutoShape 4" descr="http://www.cristaleriasmartinez.com.mx/img/THUSLRCF0860.jpg">
          <a:extLst>
            <a:ext uri="{FF2B5EF4-FFF2-40B4-BE49-F238E27FC236}">
              <a16:creationId xmlns:a16="http://schemas.microsoft.com/office/drawing/2014/main" id="{D9BFCD47-2BCD-4F66-9DEB-DFF82AB3B301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93" name="AutoShape 4" descr="http://www.cristaleriasmartinez.com.mx/img/THUSLRCF0860.jpg">
          <a:extLst>
            <a:ext uri="{FF2B5EF4-FFF2-40B4-BE49-F238E27FC236}">
              <a16:creationId xmlns:a16="http://schemas.microsoft.com/office/drawing/2014/main" id="{A6499DD1-C00B-46ED-A0BD-DECC99755034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94" name="AutoShape 4" descr="http://www.cristaleriasmartinez.com.mx/img/THUSLRCF0860.jpg">
          <a:extLst>
            <a:ext uri="{FF2B5EF4-FFF2-40B4-BE49-F238E27FC236}">
              <a16:creationId xmlns:a16="http://schemas.microsoft.com/office/drawing/2014/main" id="{F81CAD57-2697-4321-8864-084AC5817F86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95" name="AutoShape 4" descr="http://www.cristaleriasmartinez.com.mx/img/THUSLRCF0860.jpg">
          <a:extLst>
            <a:ext uri="{FF2B5EF4-FFF2-40B4-BE49-F238E27FC236}">
              <a16:creationId xmlns:a16="http://schemas.microsoft.com/office/drawing/2014/main" id="{60DDD382-8C47-4BBB-B497-CBC45CFB196F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96" name="AutoShape 4" descr="http://www.cristaleriasmartinez.com.mx/img/THUSLRCF0860.jpg">
          <a:extLst>
            <a:ext uri="{FF2B5EF4-FFF2-40B4-BE49-F238E27FC236}">
              <a16:creationId xmlns:a16="http://schemas.microsoft.com/office/drawing/2014/main" id="{C72E8589-BB47-44F6-AA69-01E33201699A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97" name="AutoShape 4" descr="http://www.cristaleriasmartinez.com.mx/img/THUSLRCF0860.jpg">
          <a:extLst>
            <a:ext uri="{FF2B5EF4-FFF2-40B4-BE49-F238E27FC236}">
              <a16:creationId xmlns:a16="http://schemas.microsoft.com/office/drawing/2014/main" id="{5D09D530-AC6A-430F-80CE-8B6C09B0D0E6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98" name="AutoShape 4" descr="http://www.cristaleriasmartinez.com.mx/img/THUSLRCF0860.jpg">
          <a:extLst>
            <a:ext uri="{FF2B5EF4-FFF2-40B4-BE49-F238E27FC236}">
              <a16:creationId xmlns:a16="http://schemas.microsoft.com/office/drawing/2014/main" id="{7FA78231-1282-4191-838F-A6FDB6C46019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799" name="AutoShape 4" descr="http://www.cristaleriasmartinez.com.mx/img/THUSLRCF0860.jpg">
          <a:extLst>
            <a:ext uri="{FF2B5EF4-FFF2-40B4-BE49-F238E27FC236}">
              <a16:creationId xmlns:a16="http://schemas.microsoft.com/office/drawing/2014/main" id="{71B981F1-228D-45A6-A5BA-D51E516A9FC4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800" name="AutoShape 4" descr="http://www.cristaleriasmartinez.com.mx/img/THUSLRCF0860.jpg">
          <a:extLst>
            <a:ext uri="{FF2B5EF4-FFF2-40B4-BE49-F238E27FC236}">
              <a16:creationId xmlns:a16="http://schemas.microsoft.com/office/drawing/2014/main" id="{EEF6A07C-FFF1-4637-9893-B503C0AA0777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801" name="AutoShape 4" descr="http://www.cristaleriasmartinez.com.mx/img/THUSLRCF0860.jpg">
          <a:extLst>
            <a:ext uri="{FF2B5EF4-FFF2-40B4-BE49-F238E27FC236}">
              <a16:creationId xmlns:a16="http://schemas.microsoft.com/office/drawing/2014/main" id="{D0E560D9-2934-433E-A3FE-1D25D971D52A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802" name="AutoShape 4" descr="http://www.cristaleriasmartinez.com.mx/img/THUSLRCF0860.jpg">
          <a:extLst>
            <a:ext uri="{FF2B5EF4-FFF2-40B4-BE49-F238E27FC236}">
              <a16:creationId xmlns:a16="http://schemas.microsoft.com/office/drawing/2014/main" id="{86402E82-C2CD-4C13-BA71-DEF203FEFFB2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803" name="AutoShape 4" descr="http://www.cristaleriasmartinez.com.mx/img/THUSLRCF0860.jpg">
          <a:extLst>
            <a:ext uri="{FF2B5EF4-FFF2-40B4-BE49-F238E27FC236}">
              <a16:creationId xmlns:a16="http://schemas.microsoft.com/office/drawing/2014/main" id="{CC9E463B-45AC-4AD6-BE28-F0ABF8445D93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804" name="AutoShape 4" descr="http://www.cristaleriasmartinez.com.mx/img/THUSLRCF0860.jpg">
          <a:extLst>
            <a:ext uri="{FF2B5EF4-FFF2-40B4-BE49-F238E27FC236}">
              <a16:creationId xmlns:a16="http://schemas.microsoft.com/office/drawing/2014/main" id="{917DA397-88EB-4F49-ABBB-218B402332FC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805" name="AutoShape 4" descr="http://www.cristaleriasmartinez.com.mx/img/THUSLRCF0860.jpg">
          <a:extLst>
            <a:ext uri="{FF2B5EF4-FFF2-40B4-BE49-F238E27FC236}">
              <a16:creationId xmlns:a16="http://schemas.microsoft.com/office/drawing/2014/main" id="{AEF6268F-1F2C-4C04-9037-6863A9567A39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806" name="AutoShape 4" descr="http://www.cristaleriasmartinez.com.mx/img/THUSLRCF0860.jpg">
          <a:extLst>
            <a:ext uri="{FF2B5EF4-FFF2-40B4-BE49-F238E27FC236}">
              <a16:creationId xmlns:a16="http://schemas.microsoft.com/office/drawing/2014/main" id="{BAC9A7E2-9801-4EF1-ABAF-3EE26208ED96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807" name="AutoShape 4" descr="http://www.cristaleriasmartinez.com.mx/img/THUSLRCF0860.jpg">
          <a:extLst>
            <a:ext uri="{FF2B5EF4-FFF2-40B4-BE49-F238E27FC236}">
              <a16:creationId xmlns:a16="http://schemas.microsoft.com/office/drawing/2014/main" id="{25F93EE8-DBE1-4C93-BE37-FB0AC9CBC987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808" name="AutoShape 4" descr="http://www.cristaleriasmartinez.com.mx/img/THUSLRCF0860.jpg">
          <a:extLst>
            <a:ext uri="{FF2B5EF4-FFF2-40B4-BE49-F238E27FC236}">
              <a16:creationId xmlns:a16="http://schemas.microsoft.com/office/drawing/2014/main" id="{E59D5C8F-0EDF-4150-8C8C-BB492B286CF1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809" name="AutoShape 4" descr="http://www.cristaleriasmartinez.com.mx/img/THUSLRCF0860.jpg">
          <a:extLst>
            <a:ext uri="{FF2B5EF4-FFF2-40B4-BE49-F238E27FC236}">
              <a16:creationId xmlns:a16="http://schemas.microsoft.com/office/drawing/2014/main" id="{6660B558-2060-4362-9395-EFFC47A3D5A6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810" name="AutoShape 4" descr="http://www.cristaleriasmartinez.com.mx/img/THUSLRCF0860.jpg">
          <a:extLst>
            <a:ext uri="{FF2B5EF4-FFF2-40B4-BE49-F238E27FC236}">
              <a16:creationId xmlns:a16="http://schemas.microsoft.com/office/drawing/2014/main" id="{E8A94EFD-F091-4F7D-B5AB-ED6D0AC7C53C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811" name="AutoShape 4" descr="http://www.cristaleriasmartinez.com.mx/img/THUSLRCF0860.jpg">
          <a:extLst>
            <a:ext uri="{FF2B5EF4-FFF2-40B4-BE49-F238E27FC236}">
              <a16:creationId xmlns:a16="http://schemas.microsoft.com/office/drawing/2014/main" id="{FFDDE5D9-FC2B-4FC7-B378-ACEA1E64E9B1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812" name="AutoShape 4" descr="http://www.cristaleriasmartinez.com.mx/img/THUSLRCF0860.jpg">
          <a:extLst>
            <a:ext uri="{FF2B5EF4-FFF2-40B4-BE49-F238E27FC236}">
              <a16:creationId xmlns:a16="http://schemas.microsoft.com/office/drawing/2014/main" id="{2030BE9F-12BB-46B5-BF70-2D0537BF7AC2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813" name="AutoShape 4" descr="http://www.cristaleriasmartinez.com.mx/img/THUSLRCF0860.jpg">
          <a:extLst>
            <a:ext uri="{FF2B5EF4-FFF2-40B4-BE49-F238E27FC236}">
              <a16:creationId xmlns:a16="http://schemas.microsoft.com/office/drawing/2014/main" id="{22403408-B602-450C-9CD3-4FE3DEA4822A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814" name="AutoShape 4" descr="http://www.cristaleriasmartinez.com.mx/img/THUSLRCF0860.jpg">
          <a:extLst>
            <a:ext uri="{FF2B5EF4-FFF2-40B4-BE49-F238E27FC236}">
              <a16:creationId xmlns:a16="http://schemas.microsoft.com/office/drawing/2014/main" id="{3C23EB2B-38B3-4C9C-8EA3-DF46476D14CD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815" name="AutoShape 4" descr="http://www.cristaleriasmartinez.com.mx/img/THUSLRCF0860.jpg">
          <a:extLst>
            <a:ext uri="{FF2B5EF4-FFF2-40B4-BE49-F238E27FC236}">
              <a16:creationId xmlns:a16="http://schemas.microsoft.com/office/drawing/2014/main" id="{75F46D70-651F-4424-B105-96173BC4A5F3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816" name="AutoShape 4" descr="http://www.cristaleriasmartinez.com.mx/img/THUSLRCF0860.jpg">
          <a:extLst>
            <a:ext uri="{FF2B5EF4-FFF2-40B4-BE49-F238E27FC236}">
              <a16:creationId xmlns:a16="http://schemas.microsoft.com/office/drawing/2014/main" id="{ABAEE6B6-AF7D-4397-9C7F-BBBEE05C3EAC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817" name="AutoShape 4" descr="http://www.cristaleriasmartinez.com.mx/img/THUSLRCF0860.jpg">
          <a:extLst>
            <a:ext uri="{FF2B5EF4-FFF2-40B4-BE49-F238E27FC236}">
              <a16:creationId xmlns:a16="http://schemas.microsoft.com/office/drawing/2014/main" id="{B4CD5BE8-9039-4AEA-81E1-26E2A9EC48AD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818" name="AutoShape 4" descr="http://www.cristaleriasmartinez.com.mx/img/THUSLRCF0860.jpg">
          <a:extLst>
            <a:ext uri="{FF2B5EF4-FFF2-40B4-BE49-F238E27FC236}">
              <a16:creationId xmlns:a16="http://schemas.microsoft.com/office/drawing/2014/main" id="{850D248D-8660-49A4-A902-F498BDF25F98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819" name="AutoShape 4" descr="http://www.cristaleriasmartinez.com.mx/img/THUSLRCF0860.jpg">
          <a:extLst>
            <a:ext uri="{FF2B5EF4-FFF2-40B4-BE49-F238E27FC236}">
              <a16:creationId xmlns:a16="http://schemas.microsoft.com/office/drawing/2014/main" id="{9A6B98D3-9645-48F4-A809-75ED18170B07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758825" cy="186267"/>
    <xdr:sp macro="" textlink="">
      <xdr:nvSpPr>
        <xdr:cNvPr id="820" name="AutoShape 4" descr="http://www.cristaleriasmartinez.com.mx/img/THUSLRCF0860.jpg">
          <a:extLst>
            <a:ext uri="{FF2B5EF4-FFF2-40B4-BE49-F238E27FC236}">
              <a16:creationId xmlns:a16="http://schemas.microsoft.com/office/drawing/2014/main" id="{6C41154C-D4DF-48D3-9F76-2D87E4B0CF93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twoCellAnchor editAs="oneCell">
    <xdr:from>
      <xdr:col>3</xdr:col>
      <xdr:colOff>222251</xdr:colOff>
      <xdr:row>14</xdr:row>
      <xdr:rowOff>42333</xdr:rowOff>
    </xdr:from>
    <xdr:to>
      <xdr:col>3</xdr:col>
      <xdr:colOff>994835</xdr:colOff>
      <xdr:row>14</xdr:row>
      <xdr:rowOff>1049034</xdr:rowOff>
    </xdr:to>
    <xdr:pic>
      <xdr:nvPicPr>
        <xdr:cNvPr id="821" name="Imagen 820">
          <a:extLst>
            <a:ext uri="{FF2B5EF4-FFF2-40B4-BE49-F238E27FC236}">
              <a16:creationId xmlns:a16="http://schemas.microsoft.com/office/drawing/2014/main" id="{4D355AD6-3D79-9629-37AB-E9C86C3D6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5084" y="3429000"/>
          <a:ext cx="772584" cy="1006701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22" name="AutoShape 4" descr="http://www.cristaleriasmartinez.com.mx/img/THUSLRCF0860.jpg">
          <a:extLst>
            <a:ext uri="{FF2B5EF4-FFF2-40B4-BE49-F238E27FC236}">
              <a16:creationId xmlns:a16="http://schemas.microsoft.com/office/drawing/2014/main" id="{BCEB6AB5-6E23-4B43-8008-47A27079258B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23" name="AutoShape 4" descr="http://www.cristaleriasmartinez.com.mx/img/THUSLRCF0860.jpg">
          <a:extLst>
            <a:ext uri="{FF2B5EF4-FFF2-40B4-BE49-F238E27FC236}">
              <a16:creationId xmlns:a16="http://schemas.microsoft.com/office/drawing/2014/main" id="{6863F722-8E54-469E-8B52-AD294C2170BB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25" name="AutoShape 4" descr="http://www.cristaleriasmartinez.com.mx/img/THUSLRCF0860.jpg">
          <a:extLst>
            <a:ext uri="{FF2B5EF4-FFF2-40B4-BE49-F238E27FC236}">
              <a16:creationId xmlns:a16="http://schemas.microsoft.com/office/drawing/2014/main" id="{5DE8FDD0-1266-40AE-A2E4-4DE074BEC2B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26" name="AutoShape 4" descr="http://www.cristaleriasmartinez.com.mx/img/THUSLRCF0860.jpg">
          <a:extLst>
            <a:ext uri="{FF2B5EF4-FFF2-40B4-BE49-F238E27FC236}">
              <a16:creationId xmlns:a16="http://schemas.microsoft.com/office/drawing/2014/main" id="{198A68C1-A513-4BAD-B862-B409DDE492D5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27" name="AutoShape 4" descr="http://www.cristaleriasmartinez.com.mx/img/THUSLRCF0860.jpg">
          <a:extLst>
            <a:ext uri="{FF2B5EF4-FFF2-40B4-BE49-F238E27FC236}">
              <a16:creationId xmlns:a16="http://schemas.microsoft.com/office/drawing/2014/main" id="{26F0F2E6-E1E5-4CB7-AB33-8EB6EEB46788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28" name="AutoShape 4" descr="http://www.cristaleriasmartinez.com.mx/img/THUSLRCF0860.jpg">
          <a:extLst>
            <a:ext uri="{FF2B5EF4-FFF2-40B4-BE49-F238E27FC236}">
              <a16:creationId xmlns:a16="http://schemas.microsoft.com/office/drawing/2014/main" id="{71730A33-7FCC-4B5D-8732-8E88A26946AA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29" name="AutoShape 4" descr="http://www.cristaleriasmartinez.com.mx/img/THUSLRCF0860.jpg">
          <a:extLst>
            <a:ext uri="{FF2B5EF4-FFF2-40B4-BE49-F238E27FC236}">
              <a16:creationId xmlns:a16="http://schemas.microsoft.com/office/drawing/2014/main" id="{90C77A96-256D-41D7-B34B-014CF336AE2E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30" name="AutoShape 4" descr="http://www.cristaleriasmartinez.com.mx/img/THUSLRCF0860.jpg">
          <a:extLst>
            <a:ext uri="{FF2B5EF4-FFF2-40B4-BE49-F238E27FC236}">
              <a16:creationId xmlns:a16="http://schemas.microsoft.com/office/drawing/2014/main" id="{795D26FC-87AA-4B3C-8F60-5937B9B72B78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31" name="AutoShape 4" descr="http://www.cristaleriasmartinez.com.mx/img/THUSLRCF0860.jpg">
          <a:extLst>
            <a:ext uri="{FF2B5EF4-FFF2-40B4-BE49-F238E27FC236}">
              <a16:creationId xmlns:a16="http://schemas.microsoft.com/office/drawing/2014/main" id="{4A925A39-A9CF-4D9E-A288-ABC409237A86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32" name="AutoShape 4" descr="http://www.cristaleriasmartinez.com.mx/img/THUSLRCF0860.jpg">
          <a:extLst>
            <a:ext uri="{FF2B5EF4-FFF2-40B4-BE49-F238E27FC236}">
              <a16:creationId xmlns:a16="http://schemas.microsoft.com/office/drawing/2014/main" id="{92B7CD07-2D42-425F-9502-115E8094DBE4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33" name="AutoShape 4" descr="http://www.cristaleriasmartinez.com.mx/img/THUSLRCF0860.jpg">
          <a:extLst>
            <a:ext uri="{FF2B5EF4-FFF2-40B4-BE49-F238E27FC236}">
              <a16:creationId xmlns:a16="http://schemas.microsoft.com/office/drawing/2014/main" id="{78C7471E-93D2-438C-BD60-B2DEB93DE42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34" name="AutoShape 4" descr="http://www.cristaleriasmartinez.com.mx/img/THUSLRCF0860.jpg">
          <a:extLst>
            <a:ext uri="{FF2B5EF4-FFF2-40B4-BE49-F238E27FC236}">
              <a16:creationId xmlns:a16="http://schemas.microsoft.com/office/drawing/2014/main" id="{2C2017CF-1A38-45D3-AB2F-4A77AF9826A7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35" name="AutoShape 4" descr="http://www.cristaleriasmartinez.com.mx/img/THUSLRCF0860.jpg">
          <a:extLst>
            <a:ext uri="{FF2B5EF4-FFF2-40B4-BE49-F238E27FC236}">
              <a16:creationId xmlns:a16="http://schemas.microsoft.com/office/drawing/2014/main" id="{9CF8A557-E641-41B7-907B-E23366686D26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36" name="AutoShape 4" descr="http://www.cristaleriasmartinez.com.mx/img/THUSLRCF0860.jpg">
          <a:extLst>
            <a:ext uri="{FF2B5EF4-FFF2-40B4-BE49-F238E27FC236}">
              <a16:creationId xmlns:a16="http://schemas.microsoft.com/office/drawing/2014/main" id="{9FAFA488-FECB-4445-ADE2-4F7135F13543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37" name="AutoShape 4" descr="http://www.cristaleriasmartinez.com.mx/img/THUSLRCF0860.jpg">
          <a:extLst>
            <a:ext uri="{FF2B5EF4-FFF2-40B4-BE49-F238E27FC236}">
              <a16:creationId xmlns:a16="http://schemas.microsoft.com/office/drawing/2014/main" id="{6091ABB8-FB4F-4D80-A8A8-04D97B64FB5A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38" name="AutoShape 4" descr="http://www.cristaleriasmartinez.com.mx/img/THUSLRCF0860.jpg">
          <a:extLst>
            <a:ext uri="{FF2B5EF4-FFF2-40B4-BE49-F238E27FC236}">
              <a16:creationId xmlns:a16="http://schemas.microsoft.com/office/drawing/2014/main" id="{C62BA69B-049F-4AB0-8A84-DDE860E90F1B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39" name="AutoShape 4" descr="http://www.cristaleriasmartinez.com.mx/img/THUSLRCF0860.jpg">
          <a:extLst>
            <a:ext uri="{FF2B5EF4-FFF2-40B4-BE49-F238E27FC236}">
              <a16:creationId xmlns:a16="http://schemas.microsoft.com/office/drawing/2014/main" id="{03BF1941-4F48-4FC8-8B26-D856E78E06B2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40" name="AutoShape 4" descr="http://www.cristaleriasmartinez.com.mx/img/THUSLRCF0860.jpg">
          <a:extLst>
            <a:ext uri="{FF2B5EF4-FFF2-40B4-BE49-F238E27FC236}">
              <a16:creationId xmlns:a16="http://schemas.microsoft.com/office/drawing/2014/main" id="{5E4341F3-7C4F-4E2A-9E1A-CE59F62E84CC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41" name="AutoShape 4" descr="http://www.cristaleriasmartinez.com.mx/img/THUSLRCF0860.jpg">
          <a:extLst>
            <a:ext uri="{FF2B5EF4-FFF2-40B4-BE49-F238E27FC236}">
              <a16:creationId xmlns:a16="http://schemas.microsoft.com/office/drawing/2014/main" id="{12C904F1-0428-447D-BE63-83642FE17344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42" name="AutoShape 4" descr="http://www.cristaleriasmartinez.com.mx/img/THUSLRCF0860.jpg">
          <a:extLst>
            <a:ext uri="{FF2B5EF4-FFF2-40B4-BE49-F238E27FC236}">
              <a16:creationId xmlns:a16="http://schemas.microsoft.com/office/drawing/2014/main" id="{3FF6D05D-0FD4-4172-9E05-474DCB64EA8D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43" name="AutoShape 4" descr="http://www.cristaleriasmartinez.com.mx/img/THUSLRCF0860.jpg">
          <a:extLst>
            <a:ext uri="{FF2B5EF4-FFF2-40B4-BE49-F238E27FC236}">
              <a16:creationId xmlns:a16="http://schemas.microsoft.com/office/drawing/2014/main" id="{700E8EDE-5A00-4325-971A-DAA6A1DD25C7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44" name="AutoShape 4" descr="http://www.cristaleriasmartinez.com.mx/img/THUSLRCF0860.jpg">
          <a:extLst>
            <a:ext uri="{FF2B5EF4-FFF2-40B4-BE49-F238E27FC236}">
              <a16:creationId xmlns:a16="http://schemas.microsoft.com/office/drawing/2014/main" id="{50AE8DAD-CF8D-4AB6-85B3-6DFCC64F5654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45" name="AutoShape 4" descr="http://www.cristaleriasmartinez.com.mx/img/THUSLRCF0860.jpg">
          <a:extLst>
            <a:ext uri="{FF2B5EF4-FFF2-40B4-BE49-F238E27FC236}">
              <a16:creationId xmlns:a16="http://schemas.microsoft.com/office/drawing/2014/main" id="{00B0E33D-7DF3-42D4-A181-C00D0B9DA7B7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46" name="AutoShape 4" descr="http://www.cristaleriasmartinez.com.mx/img/THUSLRCF0860.jpg">
          <a:extLst>
            <a:ext uri="{FF2B5EF4-FFF2-40B4-BE49-F238E27FC236}">
              <a16:creationId xmlns:a16="http://schemas.microsoft.com/office/drawing/2014/main" id="{0D401518-F73F-4792-914D-DE47392D52E9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47" name="AutoShape 4" descr="http://www.cristaleriasmartinez.com.mx/img/THUSLRCF0860.jpg">
          <a:extLst>
            <a:ext uri="{FF2B5EF4-FFF2-40B4-BE49-F238E27FC236}">
              <a16:creationId xmlns:a16="http://schemas.microsoft.com/office/drawing/2014/main" id="{49B9BEF4-A825-46E6-BCD3-9F67B4F46648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48" name="AutoShape 4" descr="http://www.cristaleriasmartinez.com.mx/img/THUSLRCF0860.jpg">
          <a:extLst>
            <a:ext uri="{FF2B5EF4-FFF2-40B4-BE49-F238E27FC236}">
              <a16:creationId xmlns:a16="http://schemas.microsoft.com/office/drawing/2014/main" id="{6610C481-8EA7-444E-B9EB-57E7957B2B28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49" name="AutoShape 4" descr="http://www.cristaleriasmartinez.com.mx/img/THUSLRCF0860.jpg">
          <a:extLst>
            <a:ext uri="{FF2B5EF4-FFF2-40B4-BE49-F238E27FC236}">
              <a16:creationId xmlns:a16="http://schemas.microsoft.com/office/drawing/2014/main" id="{CACE6352-4169-419F-A0DF-B63AFBD9C489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50" name="AutoShape 4" descr="http://www.cristaleriasmartinez.com.mx/img/THUSLRCF0860.jpg">
          <a:extLst>
            <a:ext uri="{FF2B5EF4-FFF2-40B4-BE49-F238E27FC236}">
              <a16:creationId xmlns:a16="http://schemas.microsoft.com/office/drawing/2014/main" id="{5A4D4EA6-35EB-4DD2-80B2-786DB84CA833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51" name="AutoShape 4" descr="http://www.cristaleriasmartinez.com.mx/img/THUSLRCF0860.jpg">
          <a:extLst>
            <a:ext uri="{FF2B5EF4-FFF2-40B4-BE49-F238E27FC236}">
              <a16:creationId xmlns:a16="http://schemas.microsoft.com/office/drawing/2014/main" id="{722BB200-CDBB-4589-B1BC-69494358656C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52" name="AutoShape 4" descr="http://www.cristaleriasmartinez.com.mx/img/THUSLRCF0860.jpg">
          <a:extLst>
            <a:ext uri="{FF2B5EF4-FFF2-40B4-BE49-F238E27FC236}">
              <a16:creationId xmlns:a16="http://schemas.microsoft.com/office/drawing/2014/main" id="{38299653-23CE-44F0-9298-DB9E24A11955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53" name="AutoShape 4" descr="http://www.cristaleriasmartinez.com.mx/img/THUSLRCF0860.jpg">
          <a:extLst>
            <a:ext uri="{FF2B5EF4-FFF2-40B4-BE49-F238E27FC236}">
              <a16:creationId xmlns:a16="http://schemas.microsoft.com/office/drawing/2014/main" id="{EB2D22F9-5BB7-4154-A844-A10E7F93168D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54" name="AutoShape 4" descr="http://www.cristaleriasmartinez.com.mx/img/THUSLRCF0860.jpg">
          <a:extLst>
            <a:ext uri="{FF2B5EF4-FFF2-40B4-BE49-F238E27FC236}">
              <a16:creationId xmlns:a16="http://schemas.microsoft.com/office/drawing/2014/main" id="{4D2928F5-3BF3-42D9-AC16-C31F446BB36B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55" name="AutoShape 4" descr="http://www.cristaleriasmartinez.com.mx/img/THUSLRCF0860.jpg">
          <a:extLst>
            <a:ext uri="{FF2B5EF4-FFF2-40B4-BE49-F238E27FC236}">
              <a16:creationId xmlns:a16="http://schemas.microsoft.com/office/drawing/2014/main" id="{CD1C367B-3DAF-4C09-850B-AA7654E0A71A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56" name="AutoShape 4" descr="http://www.cristaleriasmartinez.com.mx/img/THUSLRCF0860.jpg">
          <a:extLst>
            <a:ext uri="{FF2B5EF4-FFF2-40B4-BE49-F238E27FC236}">
              <a16:creationId xmlns:a16="http://schemas.microsoft.com/office/drawing/2014/main" id="{1E517C88-E416-463A-AB26-3EA0A23E2BD3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57" name="AutoShape 4" descr="http://www.cristaleriasmartinez.com.mx/img/THUSLRCF0860.jpg">
          <a:extLst>
            <a:ext uri="{FF2B5EF4-FFF2-40B4-BE49-F238E27FC236}">
              <a16:creationId xmlns:a16="http://schemas.microsoft.com/office/drawing/2014/main" id="{0F2BC2E4-3B85-4755-A820-B24A715C3375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58" name="AutoShape 4" descr="http://www.cristaleriasmartinez.com.mx/img/THUSLRCF0860.jpg">
          <a:extLst>
            <a:ext uri="{FF2B5EF4-FFF2-40B4-BE49-F238E27FC236}">
              <a16:creationId xmlns:a16="http://schemas.microsoft.com/office/drawing/2014/main" id="{AA246D72-577C-4C72-AE5D-0846483607AA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59" name="AutoShape 4" descr="http://www.cristaleriasmartinez.com.mx/img/THUSLRCF0860.jpg">
          <a:extLst>
            <a:ext uri="{FF2B5EF4-FFF2-40B4-BE49-F238E27FC236}">
              <a16:creationId xmlns:a16="http://schemas.microsoft.com/office/drawing/2014/main" id="{387AC5AF-4D27-4EDD-9982-E4844515FE7E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60" name="AutoShape 4" descr="http://www.cristaleriasmartinez.com.mx/img/THUSLRCF0860.jpg">
          <a:extLst>
            <a:ext uri="{FF2B5EF4-FFF2-40B4-BE49-F238E27FC236}">
              <a16:creationId xmlns:a16="http://schemas.microsoft.com/office/drawing/2014/main" id="{D545D7A6-9B0B-45BC-A613-B24F95FDD54E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61" name="AutoShape 4" descr="http://www.cristaleriasmartinez.com.mx/img/THUSLRCF0860.jpg">
          <a:extLst>
            <a:ext uri="{FF2B5EF4-FFF2-40B4-BE49-F238E27FC236}">
              <a16:creationId xmlns:a16="http://schemas.microsoft.com/office/drawing/2014/main" id="{F4E7D369-8A61-4FB7-86C2-C8B010A937E9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62" name="AutoShape 4" descr="http://www.cristaleriasmartinez.com.mx/img/THUSLRCF0860.jpg">
          <a:extLst>
            <a:ext uri="{FF2B5EF4-FFF2-40B4-BE49-F238E27FC236}">
              <a16:creationId xmlns:a16="http://schemas.microsoft.com/office/drawing/2014/main" id="{234F259B-8515-46CF-A84C-9F5FDBF9EED9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63" name="AutoShape 4" descr="http://www.cristaleriasmartinez.com.mx/img/THUSLRCF0860.jpg">
          <a:extLst>
            <a:ext uri="{FF2B5EF4-FFF2-40B4-BE49-F238E27FC236}">
              <a16:creationId xmlns:a16="http://schemas.microsoft.com/office/drawing/2014/main" id="{414785C4-6408-4944-8374-610B619906A8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64" name="AutoShape 4" descr="http://www.cristaleriasmartinez.com.mx/img/THUSLRCF0860.jpg">
          <a:extLst>
            <a:ext uri="{FF2B5EF4-FFF2-40B4-BE49-F238E27FC236}">
              <a16:creationId xmlns:a16="http://schemas.microsoft.com/office/drawing/2014/main" id="{3DDF6442-F60E-4FCB-8D8B-6DE4834602C3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65" name="AutoShape 4" descr="http://www.cristaleriasmartinez.com.mx/img/THUSLRCF0860.jpg">
          <a:extLst>
            <a:ext uri="{FF2B5EF4-FFF2-40B4-BE49-F238E27FC236}">
              <a16:creationId xmlns:a16="http://schemas.microsoft.com/office/drawing/2014/main" id="{816FE641-3206-49D6-B405-44F0920625ED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66" name="AutoShape 4" descr="http://www.cristaleriasmartinez.com.mx/img/THUSLRCF0860.jpg">
          <a:extLst>
            <a:ext uri="{FF2B5EF4-FFF2-40B4-BE49-F238E27FC236}">
              <a16:creationId xmlns:a16="http://schemas.microsoft.com/office/drawing/2014/main" id="{E89BE011-AF34-44F6-BD3C-965D50E30A33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67" name="AutoShape 4" descr="http://www.cristaleriasmartinez.com.mx/img/THUSLRCF0860.jpg">
          <a:extLst>
            <a:ext uri="{FF2B5EF4-FFF2-40B4-BE49-F238E27FC236}">
              <a16:creationId xmlns:a16="http://schemas.microsoft.com/office/drawing/2014/main" id="{23A7C3C1-6C34-4C8A-B7CE-DF1D74E3703F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68" name="AutoShape 4" descr="http://www.cristaleriasmartinez.com.mx/img/THUSLRCF0860.jpg">
          <a:extLst>
            <a:ext uri="{FF2B5EF4-FFF2-40B4-BE49-F238E27FC236}">
              <a16:creationId xmlns:a16="http://schemas.microsoft.com/office/drawing/2014/main" id="{D176F161-BADA-4F83-B383-D1D364570931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69" name="AutoShape 4" descr="http://www.cristaleriasmartinez.com.mx/img/THUSLRCF0860.jpg">
          <a:extLst>
            <a:ext uri="{FF2B5EF4-FFF2-40B4-BE49-F238E27FC236}">
              <a16:creationId xmlns:a16="http://schemas.microsoft.com/office/drawing/2014/main" id="{FE268122-BA21-4E1C-A12F-2EF166AAD5EC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70" name="AutoShape 4" descr="http://www.cristaleriasmartinez.com.mx/img/THUSLRCF0860.jpg">
          <a:extLst>
            <a:ext uri="{FF2B5EF4-FFF2-40B4-BE49-F238E27FC236}">
              <a16:creationId xmlns:a16="http://schemas.microsoft.com/office/drawing/2014/main" id="{837AEDB0-A0F6-4E95-ACBC-8A5D36249696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71" name="AutoShape 4" descr="http://www.cristaleriasmartinez.com.mx/img/THUSLRCF0860.jpg">
          <a:extLst>
            <a:ext uri="{FF2B5EF4-FFF2-40B4-BE49-F238E27FC236}">
              <a16:creationId xmlns:a16="http://schemas.microsoft.com/office/drawing/2014/main" id="{4DE43F58-C0D7-4F4F-B6FD-00BBF8C3B896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72" name="AutoShape 4" descr="http://www.cristaleriasmartinez.com.mx/img/THUSLRCF0860.jpg">
          <a:extLst>
            <a:ext uri="{FF2B5EF4-FFF2-40B4-BE49-F238E27FC236}">
              <a16:creationId xmlns:a16="http://schemas.microsoft.com/office/drawing/2014/main" id="{D754A119-A999-4B1F-8C6B-8F2099F556C4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73" name="AutoShape 4" descr="http://www.cristaleriasmartinez.com.mx/img/THUSLRCF0860.jpg">
          <a:extLst>
            <a:ext uri="{FF2B5EF4-FFF2-40B4-BE49-F238E27FC236}">
              <a16:creationId xmlns:a16="http://schemas.microsoft.com/office/drawing/2014/main" id="{558D2124-7B55-4F51-AA1A-DE549A4CBFF2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74" name="AutoShape 4" descr="http://www.cristaleriasmartinez.com.mx/img/THUSLRCF0860.jpg">
          <a:extLst>
            <a:ext uri="{FF2B5EF4-FFF2-40B4-BE49-F238E27FC236}">
              <a16:creationId xmlns:a16="http://schemas.microsoft.com/office/drawing/2014/main" id="{D37819E5-B795-4A7C-B05E-7726271EF05D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75" name="AutoShape 4" descr="http://www.cristaleriasmartinez.com.mx/img/THUSLRCF0860.jpg">
          <a:extLst>
            <a:ext uri="{FF2B5EF4-FFF2-40B4-BE49-F238E27FC236}">
              <a16:creationId xmlns:a16="http://schemas.microsoft.com/office/drawing/2014/main" id="{66AC85BA-F137-438B-8C63-7C97F2F621B1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76" name="AutoShape 4" descr="http://www.cristaleriasmartinez.com.mx/img/THUSLRCF0860.jpg">
          <a:extLst>
            <a:ext uri="{FF2B5EF4-FFF2-40B4-BE49-F238E27FC236}">
              <a16:creationId xmlns:a16="http://schemas.microsoft.com/office/drawing/2014/main" id="{6F4D5E63-3B96-45D9-89C0-DA186797767A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77" name="AutoShape 4" descr="http://www.cristaleriasmartinez.com.mx/img/THUSLRCF0860.jpg">
          <a:extLst>
            <a:ext uri="{FF2B5EF4-FFF2-40B4-BE49-F238E27FC236}">
              <a16:creationId xmlns:a16="http://schemas.microsoft.com/office/drawing/2014/main" id="{8E522D6D-0445-4617-997D-2C46F39DA20C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78" name="AutoShape 4" descr="http://www.cristaleriasmartinez.com.mx/img/THUSLRCF0860.jpg">
          <a:extLst>
            <a:ext uri="{FF2B5EF4-FFF2-40B4-BE49-F238E27FC236}">
              <a16:creationId xmlns:a16="http://schemas.microsoft.com/office/drawing/2014/main" id="{D2B7EA95-6E6B-477A-8E00-29E2D4C92C66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79" name="AutoShape 4" descr="http://www.cristaleriasmartinez.com.mx/img/THUSLRCF0860.jpg">
          <a:extLst>
            <a:ext uri="{FF2B5EF4-FFF2-40B4-BE49-F238E27FC236}">
              <a16:creationId xmlns:a16="http://schemas.microsoft.com/office/drawing/2014/main" id="{BA0B1AE9-EDA4-4D10-A06D-15C75399D877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80" name="AutoShape 4" descr="http://www.cristaleriasmartinez.com.mx/img/THUSLRCF0860.jpg">
          <a:extLst>
            <a:ext uri="{FF2B5EF4-FFF2-40B4-BE49-F238E27FC236}">
              <a16:creationId xmlns:a16="http://schemas.microsoft.com/office/drawing/2014/main" id="{79D57EA5-D648-41DE-B52B-F91F52FD900D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81" name="AutoShape 4" descr="http://www.cristaleriasmartinez.com.mx/img/THUSLRCF0860.jpg">
          <a:extLst>
            <a:ext uri="{FF2B5EF4-FFF2-40B4-BE49-F238E27FC236}">
              <a16:creationId xmlns:a16="http://schemas.microsoft.com/office/drawing/2014/main" id="{4D2DD0D7-059B-43CE-AC0E-10F087281B1F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82" name="AutoShape 4" descr="http://www.cristaleriasmartinez.com.mx/img/THUSLRCF0860.jpg">
          <a:extLst>
            <a:ext uri="{FF2B5EF4-FFF2-40B4-BE49-F238E27FC236}">
              <a16:creationId xmlns:a16="http://schemas.microsoft.com/office/drawing/2014/main" id="{1317F8C6-396C-41EB-92B5-6E57AA26CFC9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83" name="AutoShape 4" descr="http://www.cristaleriasmartinez.com.mx/img/THUSLRCF0860.jpg">
          <a:extLst>
            <a:ext uri="{FF2B5EF4-FFF2-40B4-BE49-F238E27FC236}">
              <a16:creationId xmlns:a16="http://schemas.microsoft.com/office/drawing/2014/main" id="{62A62C24-1033-43B2-8871-8E586F3A0E7D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84" name="AutoShape 4" descr="http://www.cristaleriasmartinez.com.mx/img/THUSLRCF0860.jpg">
          <a:extLst>
            <a:ext uri="{FF2B5EF4-FFF2-40B4-BE49-F238E27FC236}">
              <a16:creationId xmlns:a16="http://schemas.microsoft.com/office/drawing/2014/main" id="{3B869848-A0FF-46BE-84EB-11DFA92DB3BF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85" name="AutoShape 4" descr="http://www.cristaleriasmartinez.com.mx/img/THUSLRCF0860.jpg">
          <a:extLst>
            <a:ext uri="{FF2B5EF4-FFF2-40B4-BE49-F238E27FC236}">
              <a16:creationId xmlns:a16="http://schemas.microsoft.com/office/drawing/2014/main" id="{87E33C50-E0AC-4251-985A-CD605AB168D3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86" name="AutoShape 4" descr="http://www.cristaleriasmartinez.com.mx/img/THUSLRCF0860.jpg">
          <a:extLst>
            <a:ext uri="{FF2B5EF4-FFF2-40B4-BE49-F238E27FC236}">
              <a16:creationId xmlns:a16="http://schemas.microsoft.com/office/drawing/2014/main" id="{3931850D-DA03-4B1A-99EC-C05F3375EBB4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87" name="AutoShape 4" descr="http://www.cristaleriasmartinez.com.mx/img/THUSLRCF0860.jpg">
          <a:extLst>
            <a:ext uri="{FF2B5EF4-FFF2-40B4-BE49-F238E27FC236}">
              <a16:creationId xmlns:a16="http://schemas.microsoft.com/office/drawing/2014/main" id="{8BB6DC56-1B45-4467-A1C2-3BAA91988092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88" name="AutoShape 4" descr="http://www.cristaleriasmartinez.com.mx/img/THUSLRCF0860.jpg">
          <a:extLst>
            <a:ext uri="{FF2B5EF4-FFF2-40B4-BE49-F238E27FC236}">
              <a16:creationId xmlns:a16="http://schemas.microsoft.com/office/drawing/2014/main" id="{118ECF41-4426-40B6-BA67-BCD02A6A242B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89" name="AutoShape 4" descr="http://www.cristaleriasmartinez.com.mx/img/THUSLRCF0860.jpg">
          <a:extLst>
            <a:ext uri="{FF2B5EF4-FFF2-40B4-BE49-F238E27FC236}">
              <a16:creationId xmlns:a16="http://schemas.microsoft.com/office/drawing/2014/main" id="{85C64D0C-7870-4ED8-B395-E3CC5BE07A72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90" name="AutoShape 4" descr="http://www.cristaleriasmartinez.com.mx/img/THUSLRCF0860.jpg">
          <a:extLst>
            <a:ext uri="{FF2B5EF4-FFF2-40B4-BE49-F238E27FC236}">
              <a16:creationId xmlns:a16="http://schemas.microsoft.com/office/drawing/2014/main" id="{21DC5E91-3A8C-440D-87B1-00CBC2C1539E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91" name="AutoShape 4" descr="http://www.cristaleriasmartinez.com.mx/img/THUSLRCF0860.jpg">
          <a:extLst>
            <a:ext uri="{FF2B5EF4-FFF2-40B4-BE49-F238E27FC236}">
              <a16:creationId xmlns:a16="http://schemas.microsoft.com/office/drawing/2014/main" id="{CECF7DE9-08FE-4142-AF19-2E8356FADCA8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92" name="AutoShape 4" descr="http://www.cristaleriasmartinez.com.mx/img/THUSLRCF0860.jpg">
          <a:extLst>
            <a:ext uri="{FF2B5EF4-FFF2-40B4-BE49-F238E27FC236}">
              <a16:creationId xmlns:a16="http://schemas.microsoft.com/office/drawing/2014/main" id="{F80BBEDD-8EA6-4EF0-881C-DC93E38571FA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93" name="AutoShape 4" descr="http://www.cristaleriasmartinez.com.mx/img/THUSLRCF0860.jpg">
          <a:extLst>
            <a:ext uri="{FF2B5EF4-FFF2-40B4-BE49-F238E27FC236}">
              <a16:creationId xmlns:a16="http://schemas.microsoft.com/office/drawing/2014/main" id="{F8C3C497-4F32-4589-A258-087B617F15F3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94" name="AutoShape 4" descr="http://www.cristaleriasmartinez.com.mx/img/THUSLRCF0860.jpg">
          <a:extLst>
            <a:ext uri="{FF2B5EF4-FFF2-40B4-BE49-F238E27FC236}">
              <a16:creationId xmlns:a16="http://schemas.microsoft.com/office/drawing/2014/main" id="{287DBD89-9046-4B94-975A-3A50716F007E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95" name="AutoShape 4" descr="http://www.cristaleriasmartinez.com.mx/img/THUSLRCF0860.jpg">
          <a:extLst>
            <a:ext uri="{FF2B5EF4-FFF2-40B4-BE49-F238E27FC236}">
              <a16:creationId xmlns:a16="http://schemas.microsoft.com/office/drawing/2014/main" id="{06259117-12A4-41A7-B79B-1FB61C548AA5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96" name="AutoShape 4" descr="http://www.cristaleriasmartinez.com.mx/img/THUSLRCF0860.jpg">
          <a:extLst>
            <a:ext uri="{FF2B5EF4-FFF2-40B4-BE49-F238E27FC236}">
              <a16:creationId xmlns:a16="http://schemas.microsoft.com/office/drawing/2014/main" id="{8E82E00A-D8DE-4315-A4D5-AB5B1E9957E8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97" name="AutoShape 4" descr="http://www.cristaleriasmartinez.com.mx/img/THUSLRCF0860.jpg">
          <a:extLst>
            <a:ext uri="{FF2B5EF4-FFF2-40B4-BE49-F238E27FC236}">
              <a16:creationId xmlns:a16="http://schemas.microsoft.com/office/drawing/2014/main" id="{D5D9D943-287F-4F83-9FE7-530F9612F523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98" name="AutoShape 4" descr="http://www.cristaleriasmartinez.com.mx/img/THUSLRCF0860.jpg">
          <a:extLst>
            <a:ext uri="{FF2B5EF4-FFF2-40B4-BE49-F238E27FC236}">
              <a16:creationId xmlns:a16="http://schemas.microsoft.com/office/drawing/2014/main" id="{846E3217-A25C-4FF8-9552-82B21E189829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899" name="AutoShape 4" descr="http://www.cristaleriasmartinez.com.mx/img/THUSLRCF0860.jpg">
          <a:extLst>
            <a:ext uri="{FF2B5EF4-FFF2-40B4-BE49-F238E27FC236}">
              <a16:creationId xmlns:a16="http://schemas.microsoft.com/office/drawing/2014/main" id="{CABD47EE-B4F4-4EA6-9405-5773050C7C8D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00" name="AutoShape 4" descr="http://www.cristaleriasmartinez.com.mx/img/THUSLRCF0860.jpg">
          <a:extLst>
            <a:ext uri="{FF2B5EF4-FFF2-40B4-BE49-F238E27FC236}">
              <a16:creationId xmlns:a16="http://schemas.microsoft.com/office/drawing/2014/main" id="{4C13495F-F9B2-45A1-B10D-1E9423DB22AA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01" name="AutoShape 4" descr="http://www.cristaleriasmartinez.com.mx/img/THUSLRCF0860.jpg">
          <a:extLst>
            <a:ext uri="{FF2B5EF4-FFF2-40B4-BE49-F238E27FC236}">
              <a16:creationId xmlns:a16="http://schemas.microsoft.com/office/drawing/2014/main" id="{361553EE-E8F6-421C-8111-F2C0C6D84EE1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02" name="AutoShape 4" descr="http://www.cristaleriasmartinez.com.mx/img/THUSLRCF0860.jpg">
          <a:extLst>
            <a:ext uri="{FF2B5EF4-FFF2-40B4-BE49-F238E27FC236}">
              <a16:creationId xmlns:a16="http://schemas.microsoft.com/office/drawing/2014/main" id="{7ADFFE45-3226-4762-AD6D-11FF03989B37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03" name="AutoShape 4" descr="http://www.cristaleriasmartinez.com.mx/img/THUSLRCF0860.jpg">
          <a:extLst>
            <a:ext uri="{FF2B5EF4-FFF2-40B4-BE49-F238E27FC236}">
              <a16:creationId xmlns:a16="http://schemas.microsoft.com/office/drawing/2014/main" id="{5AB386A2-A638-4F5B-8C66-51D26A5E42B8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04" name="AutoShape 4" descr="http://www.cristaleriasmartinez.com.mx/img/THUSLRCF0860.jpg">
          <a:extLst>
            <a:ext uri="{FF2B5EF4-FFF2-40B4-BE49-F238E27FC236}">
              <a16:creationId xmlns:a16="http://schemas.microsoft.com/office/drawing/2014/main" id="{2393AA7E-F894-4579-A3F2-8B09BD7FD251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05" name="AutoShape 4" descr="http://www.cristaleriasmartinez.com.mx/img/THUSLRCF0860.jpg">
          <a:extLst>
            <a:ext uri="{FF2B5EF4-FFF2-40B4-BE49-F238E27FC236}">
              <a16:creationId xmlns:a16="http://schemas.microsoft.com/office/drawing/2014/main" id="{8CE74221-D6C6-41EA-9664-BA4975F16CB7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06" name="AutoShape 4" descr="http://www.cristaleriasmartinez.com.mx/img/THUSLRCF0860.jpg">
          <a:extLst>
            <a:ext uri="{FF2B5EF4-FFF2-40B4-BE49-F238E27FC236}">
              <a16:creationId xmlns:a16="http://schemas.microsoft.com/office/drawing/2014/main" id="{9826DDA7-B2A2-4E45-B4DA-C04A6B31C272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07" name="AutoShape 4" descr="http://www.cristaleriasmartinez.com.mx/img/THUSLRCF0860.jpg">
          <a:extLst>
            <a:ext uri="{FF2B5EF4-FFF2-40B4-BE49-F238E27FC236}">
              <a16:creationId xmlns:a16="http://schemas.microsoft.com/office/drawing/2014/main" id="{E1478BC7-DD80-4055-A556-C9B5794648BC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08" name="AutoShape 4" descr="http://www.cristaleriasmartinez.com.mx/img/THUSLRCF0860.jpg">
          <a:extLst>
            <a:ext uri="{FF2B5EF4-FFF2-40B4-BE49-F238E27FC236}">
              <a16:creationId xmlns:a16="http://schemas.microsoft.com/office/drawing/2014/main" id="{E398A970-621E-4CC3-B44B-D776F0E8F94A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09" name="AutoShape 4" descr="http://www.cristaleriasmartinez.com.mx/img/THUSLRCF0860.jpg">
          <a:extLst>
            <a:ext uri="{FF2B5EF4-FFF2-40B4-BE49-F238E27FC236}">
              <a16:creationId xmlns:a16="http://schemas.microsoft.com/office/drawing/2014/main" id="{992165CC-3266-47AA-A2B1-5A89898E94CE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10" name="AutoShape 4" descr="http://www.cristaleriasmartinez.com.mx/img/THUSLRCF0860.jpg">
          <a:extLst>
            <a:ext uri="{FF2B5EF4-FFF2-40B4-BE49-F238E27FC236}">
              <a16:creationId xmlns:a16="http://schemas.microsoft.com/office/drawing/2014/main" id="{DEFEA3FC-AB75-4F4D-8970-859513377748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11" name="AutoShape 4" descr="http://www.cristaleriasmartinez.com.mx/img/THUSLRCF0860.jpg">
          <a:extLst>
            <a:ext uri="{FF2B5EF4-FFF2-40B4-BE49-F238E27FC236}">
              <a16:creationId xmlns:a16="http://schemas.microsoft.com/office/drawing/2014/main" id="{64A186D4-448A-4C73-B583-22DF1BA5F307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12" name="AutoShape 4" descr="http://www.cristaleriasmartinez.com.mx/img/THUSLRCF0860.jpg">
          <a:extLst>
            <a:ext uri="{FF2B5EF4-FFF2-40B4-BE49-F238E27FC236}">
              <a16:creationId xmlns:a16="http://schemas.microsoft.com/office/drawing/2014/main" id="{50F3F9EF-1B69-4103-BBCA-10581B24BB22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13" name="AutoShape 4" descr="http://www.cristaleriasmartinez.com.mx/img/THUSLRCF0860.jpg">
          <a:extLst>
            <a:ext uri="{FF2B5EF4-FFF2-40B4-BE49-F238E27FC236}">
              <a16:creationId xmlns:a16="http://schemas.microsoft.com/office/drawing/2014/main" id="{ED70A06B-2A7D-4E49-82CB-FAAF6FD34E95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14" name="AutoShape 4" descr="http://www.cristaleriasmartinez.com.mx/img/THUSLRCF0860.jpg">
          <a:extLst>
            <a:ext uri="{FF2B5EF4-FFF2-40B4-BE49-F238E27FC236}">
              <a16:creationId xmlns:a16="http://schemas.microsoft.com/office/drawing/2014/main" id="{5D2BC492-1049-4A0B-B614-E72A8D5F7327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15" name="AutoShape 4" descr="http://www.cristaleriasmartinez.com.mx/img/THUSLRCF0860.jpg">
          <a:extLst>
            <a:ext uri="{FF2B5EF4-FFF2-40B4-BE49-F238E27FC236}">
              <a16:creationId xmlns:a16="http://schemas.microsoft.com/office/drawing/2014/main" id="{68F6B54B-AF12-447B-8D25-9E68EFB09FFE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16" name="AutoShape 4" descr="http://www.cristaleriasmartinez.com.mx/img/THUSLRCF0860.jpg">
          <a:extLst>
            <a:ext uri="{FF2B5EF4-FFF2-40B4-BE49-F238E27FC236}">
              <a16:creationId xmlns:a16="http://schemas.microsoft.com/office/drawing/2014/main" id="{63298996-2582-4318-97BB-76EA9596934E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17" name="AutoShape 4" descr="http://www.cristaleriasmartinez.com.mx/img/THUSLRCF0860.jpg">
          <a:extLst>
            <a:ext uri="{FF2B5EF4-FFF2-40B4-BE49-F238E27FC236}">
              <a16:creationId xmlns:a16="http://schemas.microsoft.com/office/drawing/2014/main" id="{608D9331-1F44-4118-9170-8327CB6DD6C5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18" name="AutoShape 4" descr="http://www.cristaleriasmartinez.com.mx/img/THUSLRCF0860.jpg">
          <a:extLst>
            <a:ext uri="{FF2B5EF4-FFF2-40B4-BE49-F238E27FC236}">
              <a16:creationId xmlns:a16="http://schemas.microsoft.com/office/drawing/2014/main" id="{DB7015CF-0442-495A-9EF6-49501AC67DA2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19" name="AutoShape 4" descr="http://www.cristaleriasmartinez.com.mx/img/THUSLRCF0860.jpg">
          <a:extLst>
            <a:ext uri="{FF2B5EF4-FFF2-40B4-BE49-F238E27FC236}">
              <a16:creationId xmlns:a16="http://schemas.microsoft.com/office/drawing/2014/main" id="{46B67297-2C06-44A2-ABC2-BB5BAA13241D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20" name="AutoShape 4" descr="http://www.cristaleriasmartinez.com.mx/img/THUSLRCF0860.jpg">
          <a:extLst>
            <a:ext uri="{FF2B5EF4-FFF2-40B4-BE49-F238E27FC236}">
              <a16:creationId xmlns:a16="http://schemas.microsoft.com/office/drawing/2014/main" id="{44B1C616-E81F-44C5-8080-1BB43BD28D3A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21" name="AutoShape 4" descr="http://www.cristaleriasmartinez.com.mx/img/THUSLRCF0860.jpg">
          <a:extLst>
            <a:ext uri="{FF2B5EF4-FFF2-40B4-BE49-F238E27FC236}">
              <a16:creationId xmlns:a16="http://schemas.microsoft.com/office/drawing/2014/main" id="{94E39173-EF60-48C9-8E14-AE5AF9A6189D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22" name="AutoShape 4" descr="http://www.cristaleriasmartinez.com.mx/img/THUSLRCF0860.jpg">
          <a:extLst>
            <a:ext uri="{FF2B5EF4-FFF2-40B4-BE49-F238E27FC236}">
              <a16:creationId xmlns:a16="http://schemas.microsoft.com/office/drawing/2014/main" id="{47DE1807-D4F5-45CA-9BAF-7E4CBB47944F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23" name="AutoShape 4" descr="http://www.cristaleriasmartinez.com.mx/img/THUSLRCF0860.jpg">
          <a:extLst>
            <a:ext uri="{FF2B5EF4-FFF2-40B4-BE49-F238E27FC236}">
              <a16:creationId xmlns:a16="http://schemas.microsoft.com/office/drawing/2014/main" id="{DE7088C9-D6C0-4790-8DFC-8EE25A198A26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24" name="AutoShape 4" descr="http://www.cristaleriasmartinez.com.mx/img/THUSLRCF0860.jpg">
          <a:extLst>
            <a:ext uri="{FF2B5EF4-FFF2-40B4-BE49-F238E27FC236}">
              <a16:creationId xmlns:a16="http://schemas.microsoft.com/office/drawing/2014/main" id="{F75A9F0F-C69B-41B1-A42A-2DAB18781515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25" name="AutoShape 4" descr="http://www.cristaleriasmartinez.com.mx/img/THUSLRCF0860.jpg">
          <a:extLst>
            <a:ext uri="{FF2B5EF4-FFF2-40B4-BE49-F238E27FC236}">
              <a16:creationId xmlns:a16="http://schemas.microsoft.com/office/drawing/2014/main" id="{E693C49F-9ECB-45B2-9773-AC0DA25C9303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26" name="AutoShape 4" descr="http://www.cristaleriasmartinez.com.mx/img/THUSLRCF0860.jpg">
          <a:extLst>
            <a:ext uri="{FF2B5EF4-FFF2-40B4-BE49-F238E27FC236}">
              <a16:creationId xmlns:a16="http://schemas.microsoft.com/office/drawing/2014/main" id="{45DBD9CF-57EC-4D67-884B-0C983B433FE7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27" name="AutoShape 4" descr="http://www.cristaleriasmartinez.com.mx/img/THUSLRCF0860.jpg">
          <a:extLst>
            <a:ext uri="{FF2B5EF4-FFF2-40B4-BE49-F238E27FC236}">
              <a16:creationId xmlns:a16="http://schemas.microsoft.com/office/drawing/2014/main" id="{43B0EFCB-583B-4207-8012-86ED6ED62C34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28" name="AutoShape 4" descr="http://www.cristaleriasmartinez.com.mx/img/THUSLRCF0860.jpg">
          <a:extLst>
            <a:ext uri="{FF2B5EF4-FFF2-40B4-BE49-F238E27FC236}">
              <a16:creationId xmlns:a16="http://schemas.microsoft.com/office/drawing/2014/main" id="{8BB38507-C0D0-4B5F-8825-793336E7DC72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29" name="AutoShape 4" descr="http://www.cristaleriasmartinez.com.mx/img/THUSLRCF0860.jpg">
          <a:extLst>
            <a:ext uri="{FF2B5EF4-FFF2-40B4-BE49-F238E27FC236}">
              <a16:creationId xmlns:a16="http://schemas.microsoft.com/office/drawing/2014/main" id="{524D77C7-3C05-429C-9AC2-2D4ADE116133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30" name="AutoShape 4" descr="http://www.cristaleriasmartinez.com.mx/img/THUSLRCF0860.jpg">
          <a:extLst>
            <a:ext uri="{FF2B5EF4-FFF2-40B4-BE49-F238E27FC236}">
              <a16:creationId xmlns:a16="http://schemas.microsoft.com/office/drawing/2014/main" id="{94B9C120-4069-455F-AC05-9FB9CD16FC48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31" name="AutoShape 4" descr="http://www.cristaleriasmartinez.com.mx/img/THUSLRCF0860.jpg">
          <a:extLst>
            <a:ext uri="{FF2B5EF4-FFF2-40B4-BE49-F238E27FC236}">
              <a16:creationId xmlns:a16="http://schemas.microsoft.com/office/drawing/2014/main" id="{4E181F46-B5B3-44D9-960B-A9ABAA98C967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32" name="AutoShape 4" descr="http://www.cristaleriasmartinez.com.mx/img/THUSLRCF0860.jpg">
          <a:extLst>
            <a:ext uri="{FF2B5EF4-FFF2-40B4-BE49-F238E27FC236}">
              <a16:creationId xmlns:a16="http://schemas.microsoft.com/office/drawing/2014/main" id="{108707BE-F3DC-4582-8088-C372EC84BEC9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33" name="AutoShape 4" descr="http://www.cristaleriasmartinez.com.mx/img/THUSLRCF0860.jpg">
          <a:extLst>
            <a:ext uri="{FF2B5EF4-FFF2-40B4-BE49-F238E27FC236}">
              <a16:creationId xmlns:a16="http://schemas.microsoft.com/office/drawing/2014/main" id="{CA2D05EC-9322-4E54-8D87-072A52FF9EDA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34" name="AutoShape 4" descr="http://www.cristaleriasmartinez.com.mx/img/THUSLRCF0860.jpg">
          <a:extLst>
            <a:ext uri="{FF2B5EF4-FFF2-40B4-BE49-F238E27FC236}">
              <a16:creationId xmlns:a16="http://schemas.microsoft.com/office/drawing/2014/main" id="{CB149ADB-1AED-4839-81AD-DD89B33918AE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35" name="AutoShape 4" descr="http://www.cristaleriasmartinez.com.mx/img/THUSLRCF0860.jpg">
          <a:extLst>
            <a:ext uri="{FF2B5EF4-FFF2-40B4-BE49-F238E27FC236}">
              <a16:creationId xmlns:a16="http://schemas.microsoft.com/office/drawing/2014/main" id="{F4859268-F48E-4623-B31C-BBAD9C95FCFD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36" name="AutoShape 4" descr="http://www.cristaleriasmartinez.com.mx/img/THUSLRCF0860.jpg">
          <a:extLst>
            <a:ext uri="{FF2B5EF4-FFF2-40B4-BE49-F238E27FC236}">
              <a16:creationId xmlns:a16="http://schemas.microsoft.com/office/drawing/2014/main" id="{AFEBAA50-F78A-44F2-956B-4FF09398CBE7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37" name="AutoShape 4" descr="http://www.cristaleriasmartinez.com.mx/img/THUSLRCF0860.jpg">
          <a:extLst>
            <a:ext uri="{FF2B5EF4-FFF2-40B4-BE49-F238E27FC236}">
              <a16:creationId xmlns:a16="http://schemas.microsoft.com/office/drawing/2014/main" id="{09CB959A-8376-4231-B075-1C9AD895D947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38" name="AutoShape 4" descr="http://www.cristaleriasmartinez.com.mx/img/THUSLRCF0860.jpg">
          <a:extLst>
            <a:ext uri="{FF2B5EF4-FFF2-40B4-BE49-F238E27FC236}">
              <a16:creationId xmlns:a16="http://schemas.microsoft.com/office/drawing/2014/main" id="{07EFC750-8087-475F-9CA8-7FE4A0730E1D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39" name="AutoShape 4" descr="http://www.cristaleriasmartinez.com.mx/img/THUSLRCF0860.jpg">
          <a:extLst>
            <a:ext uri="{FF2B5EF4-FFF2-40B4-BE49-F238E27FC236}">
              <a16:creationId xmlns:a16="http://schemas.microsoft.com/office/drawing/2014/main" id="{DE8136D3-B8ED-4899-B7B4-06307C894C31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40" name="AutoShape 4" descr="http://www.cristaleriasmartinez.com.mx/img/THUSLRCF0860.jpg">
          <a:extLst>
            <a:ext uri="{FF2B5EF4-FFF2-40B4-BE49-F238E27FC236}">
              <a16:creationId xmlns:a16="http://schemas.microsoft.com/office/drawing/2014/main" id="{62D1798E-BEB3-4288-8778-2E5193C6DB4B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41" name="AutoShape 4" descr="http://www.cristaleriasmartinez.com.mx/img/THUSLRCF0860.jpg">
          <a:extLst>
            <a:ext uri="{FF2B5EF4-FFF2-40B4-BE49-F238E27FC236}">
              <a16:creationId xmlns:a16="http://schemas.microsoft.com/office/drawing/2014/main" id="{289BF790-31DF-4BF8-9438-67528B5CDA77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42" name="AutoShape 4" descr="http://www.cristaleriasmartinez.com.mx/img/THUSLRCF0860.jpg">
          <a:extLst>
            <a:ext uri="{FF2B5EF4-FFF2-40B4-BE49-F238E27FC236}">
              <a16:creationId xmlns:a16="http://schemas.microsoft.com/office/drawing/2014/main" id="{BB5C0F48-0E6C-4E84-819E-2D2DBE547FDD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43" name="AutoShape 4" descr="http://www.cristaleriasmartinez.com.mx/img/THUSLRCF0860.jpg">
          <a:extLst>
            <a:ext uri="{FF2B5EF4-FFF2-40B4-BE49-F238E27FC236}">
              <a16:creationId xmlns:a16="http://schemas.microsoft.com/office/drawing/2014/main" id="{AA0BDE4C-1D78-4D46-AACF-2987A7791588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44" name="AutoShape 4" descr="http://www.cristaleriasmartinez.com.mx/img/THUSLRCF0860.jpg">
          <a:extLst>
            <a:ext uri="{FF2B5EF4-FFF2-40B4-BE49-F238E27FC236}">
              <a16:creationId xmlns:a16="http://schemas.microsoft.com/office/drawing/2014/main" id="{0EB0F92E-714B-4C02-93F2-735F10EF7E32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45" name="AutoShape 4" descr="http://www.cristaleriasmartinez.com.mx/img/THUSLRCF0860.jpg">
          <a:extLst>
            <a:ext uri="{FF2B5EF4-FFF2-40B4-BE49-F238E27FC236}">
              <a16:creationId xmlns:a16="http://schemas.microsoft.com/office/drawing/2014/main" id="{2F0C10A4-2DC4-4FBE-BA46-4B8561E5C4FA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46" name="AutoShape 4" descr="http://www.cristaleriasmartinez.com.mx/img/THUSLRCF0860.jpg">
          <a:extLst>
            <a:ext uri="{FF2B5EF4-FFF2-40B4-BE49-F238E27FC236}">
              <a16:creationId xmlns:a16="http://schemas.microsoft.com/office/drawing/2014/main" id="{F46B71C4-AC36-426B-9ED6-24BF4BEA0B6C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47" name="AutoShape 4" descr="http://www.cristaleriasmartinez.com.mx/img/THUSLRCF0860.jpg">
          <a:extLst>
            <a:ext uri="{FF2B5EF4-FFF2-40B4-BE49-F238E27FC236}">
              <a16:creationId xmlns:a16="http://schemas.microsoft.com/office/drawing/2014/main" id="{1C9E6C2F-1675-448C-A74B-C5B67C1A3C0F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48" name="AutoShape 4" descr="http://www.cristaleriasmartinez.com.mx/img/THUSLRCF0860.jpg">
          <a:extLst>
            <a:ext uri="{FF2B5EF4-FFF2-40B4-BE49-F238E27FC236}">
              <a16:creationId xmlns:a16="http://schemas.microsoft.com/office/drawing/2014/main" id="{4E291BEE-CF37-40C7-8102-62300EFF5F32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758825" cy="186267"/>
    <xdr:sp macro="" textlink="">
      <xdr:nvSpPr>
        <xdr:cNvPr id="949" name="AutoShape 4" descr="http://www.cristaleriasmartinez.com.mx/img/THUSLRCF0860.jpg">
          <a:extLst>
            <a:ext uri="{FF2B5EF4-FFF2-40B4-BE49-F238E27FC236}">
              <a16:creationId xmlns:a16="http://schemas.microsoft.com/office/drawing/2014/main" id="{C12616A9-B226-4531-9D5C-A1004BFDCA44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twoCellAnchor editAs="oneCell">
    <xdr:from>
      <xdr:col>3</xdr:col>
      <xdr:colOff>179918</xdr:colOff>
      <xdr:row>14</xdr:row>
      <xdr:rowOff>52916</xdr:rowOff>
    </xdr:from>
    <xdr:to>
      <xdr:col>3</xdr:col>
      <xdr:colOff>935273</xdr:colOff>
      <xdr:row>14</xdr:row>
      <xdr:rowOff>1037167</xdr:rowOff>
    </xdr:to>
    <xdr:pic>
      <xdr:nvPicPr>
        <xdr:cNvPr id="950" name="Imagen 949">
          <a:extLst>
            <a:ext uri="{FF2B5EF4-FFF2-40B4-BE49-F238E27FC236}">
              <a16:creationId xmlns:a16="http://schemas.microsoft.com/office/drawing/2014/main" id="{567C18AD-0F4F-4297-B67C-6580F9E12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4868" y="3424766"/>
          <a:ext cx="755355" cy="984251"/>
        </a:xfrm>
        <a:prstGeom prst="rect">
          <a:avLst/>
        </a:prstGeom>
      </xdr:spPr>
    </xdr:pic>
    <xdr:clientData/>
  </xdr:twoCellAnchor>
  <xdr:twoCellAnchor editAs="oneCell">
    <xdr:from>
      <xdr:col>5</xdr:col>
      <xdr:colOff>897467</xdr:colOff>
      <xdr:row>0</xdr:row>
      <xdr:rowOff>152400</xdr:rowOff>
    </xdr:from>
    <xdr:to>
      <xdr:col>7</xdr:col>
      <xdr:colOff>16418</xdr:colOff>
      <xdr:row>2</xdr:row>
      <xdr:rowOff>169333</xdr:rowOff>
    </xdr:to>
    <xdr:pic>
      <xdr:nvPicPr>
        <xdr:cNvPr id="824" name="Imagen 823">
          <a:extLst>
            <a:ext uri="{FF2B5EF4-FFF2-40B4-BE49-F238E27FC236}">
              <a16:creationId xmlns:a16="http://schemas.microsoft.com/office/drawing/2014/main" id="{7566FAA2-8FD7-4B49-A62B-6EC35A718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7400" y="152400"/>
          <a:ext cx="1769018" cy="778933"/>
        </a:xfrm>
        <a:prstGeom prst="rect">
          <a:avLst/>
        </a:prstGeom>
      </xdr:spPr>
    </xdr:pic>
    <xdr:clientData/>
  </xdr:twoCellAnchor>
  <xdr:twoCellAnchor editAs="oneCell">
    <xdr:from>
      <xdr:col>2</xdr:col>
      <xdr:colOff>67734</xdr:colOff>
      <xdr:row>0</xdr:row>
      <xdr:rowOff>33868</xdr:rowOff>
    </xdr:from>
    <xdr:to>
      <xdr:col>3</xdr:col>
      <xdr:colOff>525276</xdr:colOff>
      <xdr:row>2</xdr:row>
      <xdr:rowOff>128358</xdr:rowOff>
    </xdr:to>
    <xdr:pic>
      <xdr:nvPicPr>
        <xdr:cNvPr id="951" name="Imagen 950">
          <a:extLst>
            <a:ext uri="{FF2B5EF4-FFF2-40B4-BE49-F238E27FC236}">
              <a16:creationId xmlns:a16="http://schemas.microsoft.com/office/drawing/2014/main" id="{B08A4826-3C68-4F6A-A75F-098E2902E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934" y="33868"/>
          <a:ext cx="1414275" cy="8564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G35"/>
  <sheetViews>
    <sheetView tabSelected="1" zoomScale="90" zoomScaleNormal="90" workbookViewId="0">
      <selection activeCell="I5" sqref="I5"/>
    </sheetView>
  </sheetViews>
  <sheetFormatPr baseColWidth="10" defaultRowHeight="14.4" x14ac:dyDescent="0.3"/>
  <cols>
    <col min="1" max="1" width="4.44140625" customWidth="1"/>
    <col min="2" max="2" width="4.109375" customWidth="1"/>
    <col min="3" max="3" width="14" customWidth="1"/>
    <col min="4" max="4" width="17.6640625" customWidth="1"/>
    <col min="5" max="5" width="50.88671875" customWidth="1"/>
    <col min="6" max="6" width="16" customWidth="1"/>
    <col min="7" max="7" width="22.5546875" customWidth="1"/>
    <col min="8" max="8" width="4" customWidth="1"/>
  </cols>
  <sheetData>
    <row r="1" spans="3:7" ht="39" x14ac:dyDescent="0.3">
      <c r="C1" s="60" t="s">
        <v>0</v>
      </c>
      <c r="D1" s="61"/>
      <c r="E1" s="61"/>
      <c r="F1" s="61"/>
      <c r="G1" s="62"/>
    </row>
    <row r="2" spans="3:7" ht="20.399999999999999" x14ac:dyDescent="0.3">
      <c r="C2" s="63" t="s">
        <v>1</v>
      </c>
      <c r="D2" s="64"/>
      <c r="E2" s="64"/>
      <c r="F2" s="64"/>
      <c r="G2" s="65"/>
    </row>
    <row r="3" spans="3:7" x14ac:dyDescent="0.3">
      <c r="C3" s="1"/>
      <c r="D3" s="2"/>
      <c r="E3" s="2"/>
      <c r="F3" s="2"/>
      <c r="G3" s="3"/>
    </row>
    <row r="4" spans="3:7" ht="15.6" x14ac:dyDescent="0.3">
      <c r="C4" s="54" t="s">
        <v>2</v>
      </c>
      <c r="D4" s="55"/>
      <c r="E4" s="55"/>
      <c r="F4" s="55"/>
      <c r="G4" s="56"/>
    </row>
    <row r="5" spans="3:7" ht="15.6" x14ac:dyDescent="0.3">
      <c r="C5" s="54" t="s">
        <v>38</v>
      </c>
      <c r="D5" s="55"/>
      <c r="E5" s="55"/>
      <c r="F5" s="55"/>
      <c r="G5" s="56"/>
    </row>
    <row r="6" spans="3:7" ht="17.399999999999999" x14ac:dyDescent="0.3">
      <c r="C6" s="1"/>
      <c r="D6" s="2"/>
      <c r="E6" s="4"/>
      <c r="F6" s="2"/>
      <c r="G6" s="3"/>
    </row>
    <row r="7" spans="3:7" ht="15.6" x14ac:dyDescent="0.3">
      <c r="C7" s="5" t="s">
        <v>3</v>
      </c>
      <c r="D7" s="6" t="s">
        <v>29</v>
      </c>
      <c r="E7" s="6"/>
      <c r="F7" s="7" t="s">
        <v>4</v>
      </c>
      <c r="G7" s="8">
        <f ca="1">TODAY()</f>
        <v>45181</v>
      </c>
    </row>
    <row r="8" spans="3:7" ht="15.6" x14ac:dyDescent="0.3">
      <c r="C8" s="9" t="s">
        <v>5</v>
      </c>
      <c r="D8" s="10" t="s">
        <v>30</v>
      </c>
      <c r="E8" s="6"/>
      <c r="F8" s="11" t="s">
        <v>6</v>
      </c>
      <c r="G8" s="68">
        <v>7584</v>
      </c>
    </row>
    <row r="9" spans="3:7" ht="15.6" x14ac:dyDescent="0.3">
      <c r="C9" s="9" t="s">
        <v>21</v>
      </c>
      <c r="D9" s="6"/>
      <c r="E9" s="12"/>
      <c r="F9" s="66" t="s">
        <v>35</v>
      </c>
      <c r="G9" s="67" t="s">
        <v>36</v>
      </c>
    </row>
    <row r="10" spans="3:7" ht="15.6" x14ac:dyDescent="0.3">
      <c r="C10" s="9" t="s">
        <v>7</v>
      </c>
      <c r="D10" s="50">
        <v>6672439720</v>
      </c>
      <c r="E10" s="43"/>
      <c r="F10" s="2"/>
      <c r="G10" s="3"/>
    </row>
    <row r="11" spans="3:7" ht="15.6" x14ac:dyDescent="0.3">
      <c r="C11" s="5" t="s">
        <v>8</v>
      </c>
      <c r="D11" s="37"/>
      <c r="E11" s="10"/>
      <c r="F11" s="2"/>
      <c r="G11" s="3"/>
    </row>
    <row r="12" spans="3:7" s="36" customFormat="1" ht="25.8" x14ac:dyDescent="0.5">
      <c r="C12" s="76" t="s">
        <v>9</v>
      </c>
      <c r="D12" s="77"/>
      <c r="E12" s="77"/>
      <c r="F12" s="77"/>
      <c r="G12" s="78"/>
    </row>
    <row r="13" spans="3:7" ht="17.399999999999999" thickBot="1" x14ac:dyDescent="0.35">
      <c r="C13" s="57" t="s">
        <v>10</v>
      </c>
      <c r="D13" s="58"/>
      <c r="E13" s="58"/>
      <c r="F13" s="58"/>
      <c r="G13" s="59"/>
    </row>
    <row r="14" spans="3:7" ht="16.2" thickBot="1" x14ac:dyDescent="0.35">
      <c r="C14" s="73" t="s">
        <v>11</v>
      </c>
      <c r="D14" s="72" t="s">
        <v>37</v>
      </c>
      <c r="E14" s="73" t="s">
        <v>12</v>
      </c>
      <c r="F14" s="74" t="s">
        <v>13</v>
      </c>
      <c r="G14" s="75" t="s">
        <v>14</v>
      </c>
    </row>
    <row r="15" spans="3:7" ht="85.5" customHeight="1" thickBot="1" x14ac:dyDescent="0.35">
      <c r="C15" s="13">
        <v>50</v>
      </c>
      <c r="D15" s="42"/>
      <c r="E15" s="49" t="s">
        <v>34</v>
      </c>
      <c r="F15" s="14">
        <v>510.4</v>
      </c>
      <c r="G15" s="14">
        <f>AVERAGE(F15*C15)</f>
        <v>25520</v>
      </c>
    </row>
    <row r="16" spans="3:7" ht="85.5" customHeight="1" thickBot="1" x14ac:dyDescent="0.35">
      <c r="C16" s="13"/>
      <c r="D16" s="42"/>
      <c r="E16" s="48"/>
      <c r="F16" s="14"/>
      <c r="G16" s="14">
        <f>SUM(F16*C16)</f>
        <v>0</v>
      </c>
    </row>
    <row r="17" spans="3:7" ht="85.5" customHeight="1" thickBot="1" x14ac:dyDescent="0.35">
      <c r="C17" s="13"/>
      <c r="D17" s="42"/>
      <c r="E17" s="47"/>
      <c r="F17" s="14"/>
      <c r="G17" s="14">
        <f t="shared" ref="G17:G18" si="0">AVERAGE(F17*C17)</f>
        <v>0</v>
      </c>
    </row>
    <row r="18" spans="3:7" ht="85.5" customHeight="1" thickBot="1" x14ac:dyDescent="0.35">
      <c r="C18" s="13"/>
      <c r="D18" s="42"/>
      <c r="E18" s="45"/>
      <c r="F18" s="14"/>
      <c r="G18" s="14">
        <f t="shared" si="0"/>
        <v>0</v>
      </c>
    </row>
    <row r="19" spans="3:7" ht="85.5" customHeight="1" thickBot="1" x14ac:dyDescent="0.35">
      <c r="C19" s="13"/>
      <c r="D19" s="13"/>
      <c r="E19" s="45"/>
      <c r="F19" s="14"/>
      <c r="G19" s="14">
        <f>AVERAGE(F19*C19)</f>
        <v>0</v>
      </c>
    </row>
    <row r="20" spans="3:7" ht="85.5" customHeight="1" thickBot="1" x14ac:dyDescent="0.35">
      <c r="C20" s="13"/>
      <c r="D20" s="13"/>
      <c r="E20" s="46"/>
      <c r="F20" s="14"/>
      <c r="G20" s="14">
        <f>AVERAGE(F20*C20)</f>
        <v>0</v>
      </c>
    </row>
    <row r="21" spans="3:7" ht="16.2" thickBot="1" x14ac:dyDescent="0.35">
      <c r="C21" s="15"/>
      <c r="D21" s="10"/>
      <c r="E21" s="10"/>
      <c r="F21" s="16" t="s">
        <v>15</v>
      </c>
      <c r="G21" s="17">
        <f>SUM(G15:G20)</f>
        <v>25520</v>
      </c>
    </row>
    <row r="22" spans="3:7" ht="16.2" thickBot="1" x14ac:dyDescent="0.35">
      <c r="C22" s="18"/>
      <c r="D22" s="10"/>
      <c r="E22" s="10"/>
      <c r="F22" s="16" t="s">
        <v>16</v>
      </c>
      <c r="G22" s="17"/>
    </row>
    <row r="23" spans="3:7" ht="16.2" thickBot="1" x14ac:dyDescent="0.35">
      <c r="C23" s="18"/>
      <c r="D23" s="10"/>
      <c r="E23" s="38"/>
      <c r="F23" s="71" t="s">
        <v>17</v>
      </c>
      <c r="G23" s="17">
        <f>SUM(G21:G22)</f>
        <v>25520</v>
      </c>
    </row>
    <row r="24" spans="3:7" ht="15.6" x14ac:dyDescent="0.3">
      <c r="C24" s="22" t="s">
        <v>22</v>
      </c>
      <c r="D24" s="20"/>
      <c r="E24" s="51" t="s">
        <v>33</v>
      </c>
      <c r="F24" s="52"/>
      <c r="G24" s="53"/>
    </row>
    <row r="25" spans="3:7" x14ac:dyDescent="0.3">
      <c r="C25" s="21"/>
      <c r="D25" s="41"/>
      <c r="E25" s="51" t="s">
        <v>31</v>
      </c>
      <c r="F25" s="52"/>
      <c r="G25" s="53"/>
    </row>
    <row r="26" spans="3:7" ht="15.6" x14ac:dyDescent="0.3">
      <c r="C26" s="70" t="s">
        <v>18</v>
      </c>
      <c r="D26" s="20"/>
      <c r="E26" s="44" t="s">
        <v>32</v>
      </c>
      <c r="F26" s="39"/>
      <c r="G26" s="40"/>
    </row>
    <row r="27" spans="3:7" ht="15.6" x14ac:dyDescent="0.3">
      <c r="C27" s="19" t="s">
        <v>20</v>
      </c>
      <c r="D27" s="23"/>
      <c r="E27" s="20"/>
      <c r="F27" s="24"/>
      <c r="G27" s="25"/>
    </row>
    <row r="28" spans="3:7" ht="15.6" x14ac:dyDescent="0.3">
      <c r="C28" s="19" t="s">
        <v>23</v>
      </c>
      <c r="D28" s="20"/>
      <c r="E28" s="20"/>
      <c r="F28" s="20"/>
      <c r="G28" s="25"/>
    </row>
    <row r="29" spans="3:7" ht="15.6" x14ac:dyDescent="0.3">
      <c r="C29" s="19" t="s">
        <v>28</v>
      </c>
      <c r="D29" s="20"/>
      <c r="E29" s="20"/>
      <c r="F29" s="20"/>
      <c r="G29" s="25"/>
    </row>
    <row r="30" spans="3:7" ht="15.6" x14ac:dyDescent="0.3">
      <c r="C30" s="19" t="s">
        <v>19</v>
      </c>
      <c r="D30" s="20"/>
      <c r="E30" s="20"/>
      <c r="F30" s="20"/>
      <c r="G30" s="25"/>
    </row>
    <row r="31" spans="3:7" ht="15.6" x14ac:dyDescent="0.3">
      <c r="C31" s="27" t="s">
        <v>24</v>
      </c>
      <c r="D31" s="26"/>
      <c r="E31" s="24"/>
      <c r="F31" s="20"/>
      <c r="G31" s="25"/>
    </row>
    <row r="32" spans="3:7" ht="15.6" x14ac:dyDescent="0.3">
      <c r="C32" s="27" t="s">
        <v>25</v>
      </c>
      <c r="D32" s="20"/>
      <c r="E32" s="20"/>
      <c r="F32" s="20"/>
      <c r="G32" s="25"/>
    </row>
    <row r="33" spans="3:7" x14ac:dyDescent="0.3">
      <c r="C33" s="28"/>
      <c r="D33" s="2"/>
      <c r="E33" s="2"/>
      <c r="F33" s="29"/>
      <c r="G33" s="30"/>
    </row>
    <row r="34" spans="3:7" ht="21" x14ac:dyDescent="0.4">
      <c r="C34" s="28"/>
      <c r="D34" s="2"/>
      <c r="E34" s="69" t="s">
        <v>26</v>
      </c>
      <c r="F34" s="29"/>
      <c r="G34" s="30"/>
    </row>
    <row r="35" spans="3:7" ht="16.2" thickBot="1" x14ac:dyDescent="0.35">
      <c r="C35" s="31"/>
      <c r="D35" s="32"/>
      <c r="E35" s="33" t="s">
        <v>27</v>
      </c>
      <c r="F35" s="34"/>
      <c r="G35" s="35"/>
    </row>
  </sheetData>
  <mergeCells count="8">
    <mergeCell ref="E24:G24"/>
    <mergeCell ref="E25:G25"/>
    <mergeCell ref="C1:G1"/>
    <mergeCell ref="C2:G2"/>
    <mergeCell ref="C4:G4"/>
    <mergeCell ref="C5:G5"/>
    <mergeCell ref="C12:G12"/>
    <mergeCell ref="C13:G13"/>
  </mergeCells>
  <pageMargins left="0.31496062992125984" right="0.31496062992125984" top="0.6692913385826772" bottom="0.31496062992125984" header="0.31496062992125984" footer="0.31496062992125984"/>
  <pageSetup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4374 LUCIO DIAZ</vt:lpstr>
      <vt:lpstr>'4374 LUCIO DIAZ'!Área_de_impresión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jose bartolo oviedo</cp:lastModifiedBy>
  <cp:lastPrinted>2022-11-02T23:16:52Z</cp:lastPrinted>
  <dcterms:created xsi:type="dcterms:W3CDTF">2017-09-12T22:02:12Z</dcterms:created>
  <dcterms:modified xsi:type="dcterms:W3CDTF">2023-09-12T21:52:10Z</dcterms:modified>
</cp:coreProperties>
</file>